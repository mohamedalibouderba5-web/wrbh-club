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nformatics\Desktop\"/>
    </mc:Choice>
  </mc:AlternateContent>
  <xr:revisionPtr revIDLastSave="0" documentId="13_ncr:1_{35C88A3E-75FD-4C7C-8BE8-50770FD7387E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Formulaire d'inscription" sheetId="2" r:id="rId1"/>
    <sheet name="Langues" sheetId="6" state="hidden" r:id="rId2"/>
    <sheet name="registre joueur" sheetId="1" r:id="rId3"/>
    <sheet name="Entraineur" sheetId="7" r:id="rId4"/>
    <sheet name="الفئه" sheetId="5" r:id="rId5"/>
    <sheet name="النقل" sheetId="9" r:id="rId6"/>
    <sheet name="parametre" sheetId="4" r:id="rId7"/>
  </sheets>
  <definedNames>
    <definedName name="Segment_الفئه">#N/A</definedName>
    <definedName name="_xlnm.Print_Area" localSheetId="2">Tableau1[#All]</definedName>
  </definedNames>
  <calcPr calcId="181029"/>
  <pivotCaches>
    <pivotCache cacheId="0" r:id="rId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4" i="1" l="1"/>
  <c r="F115" i="1"/>
  <c r="F116" i="1"/>
  <c r="F117" i="1"/>
  <c r="F118" i="1"/>
  <c r="F119" i="1"/>
  <c r="F120" i="1"/>
  <c r="F121" i="1"/>
  <c r="F122" i="1"/>
  <c r="F123" i="1"/>
  <c r="F124" i="1"/>
  <c r="F12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T6" i="1"/>
  <c r="T7" i="1"/>
  <c r="T8" i="1"/>
  <c r="T9" i="1"/>
  <c r="T10" i="1"/>
  <c r="T11" i="1"/>
  <c r="T12" i="1"/>
  <c r="T13" i="1"/>
  <c r="T14" i="1"/>
  <c r="T15" i="1"/>
  <c r="T16" i="1"/>
  <c r="T17" i="1"/>
  <c r="P3" i="1"/>
  <c r="T18" i="1"/>
  <c r="T19" i="1"/>
  <c r="T20" i="1"/>
  <c r="O3" i="1"/>
  <c r="T21" i="1"/>
  <c r="T22" i="1"/>
  <c r="T23" i="1"/>
  <c r="T24" i="1"/>
  <c r="T25" i="1"/>
  <c r="T26" i="1"/>
  <c r="N8" i="7"/>
  <c r="T32" i="1"/>
  <c r="T27" i="1"/>
  <c r="T28" i="1"/>
  <c r="T29" i="1"/>
  <c r="M3" i="1"/>
  <c r="T30" i="1"/>
  <c r="T31" i="1"/>
  <c r="T33" i="1"/>
  <c r="T34" i="1"/>
  <c r="T35" i="1"/>
  <c r="T36" i="1"/>
  <c r="T37" i="1"/>
  <c r="T38" i="1"/>
  <c r="T39" i="1"/>
  <c r="T40" i="1"/>
  <c r="T3" i="7"/>
  <c r="T41" i="1"/>
  <c r="T42" i="1"/>
  <c r="T43" i="1"/>
  <c r="T44" i="1"/>
  <c r="T45" i="1"/>
  <c r="T46" i="1"/>
  <c r="F3" i="1"/>
  <c r="T47" i="1"/>
  <c r="T48" i="1"/>
  <c r="T49" i="1"/>
  <c r="T50" i="1"/>
  <c r="T51" i="1"/>
  <c r="T52" i="1"/>
  <c r="T53" i="1"/>
  <c r="T54" i="1"/>
  <c r="T55" i="1"/>
  <c r="T58" i="1"/>
  <c r="T59" i="1"/>
  <c r="T60" i="1"/>
  <c r="T61" i="1"/>
  <c r="T62" i="1"/>
  <c r="J24" i="9"/>
  <c r="T4" i="7" l="1"/>
  <c r="R8" i="7" l="1"/>
  <c r="Q8" i="7"/>
  <c r="P8" i="7"/>
  <c r="O8" i="7"/>
  <c r="M8" i="7"/>
  <c r="L8" i="7"/>
  <c r="K8" i="7"/>
  <c r="J8" i="7"/>
  <c r="I8" i="7"/>
  <c r="H8" i="7"/>
  <c r="G8" i="7"/>
  <c r="E8" i="7"/>
  <c r="D8" i="7"/>
  <c r="C8" i="7"/>
  <c r="B8" i="7"/>
  <c r="T7" i="7"/>
  <c r="T6" i="7"/>
  <c r="T5" i="7"/>
  <c r="T63" i="1"/>
  <c r="T64" i="1"/>
  <c r="B126" i="1"/>
  <c r="C126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8" i="1"/>
  <c r="T119" i="1"/>
  <c r="T120" i="1"/>
  <c r="T121" i="1"/>
  <c r="T122" i="1"/>
  <c r="T123" i="1"/>
  <c r="T124" i="1"/>
  <c r="T125" i="1"/>
  <c r="T8" i="7" l="1"/>
  <c r="C3" i="1" l="1"/>
  <c r="T117" i="1" l="1"/>
  <c r="I6" i="2" l="1"/>
  <c r="H3" i="1" l="1"/>
  <c r="I3" i="1"/>
  <c r="J3" i="1"/>
  <c r="K3" i="1"/>
  <c r="L3" i="1"/>
  <c r="N3" i="1"/>
  <c r="Q3" i="1"/>
  <c r="R3" i="1"/>
  <c r="S3" i="1"/>
  <c r="G3" i="1"/>
  <c r="G126" i="1"/>
  <c r="D126" i="1"/>
  <c r="E126" i="1"/>
  <c r="H126" i="1"/>
  <c r="I126" i="1"/>
  <c r="J126" i="1"/>
  <c r="K126" i="1"/>
  <c r="L126" i="1"/>
  <c r="M126" i="1"/>
  <c r="N126" i="1"/>
  <c r="O126" i="1"/>
  <c r="P126" i="1"/>
  <c r="Q126" i="1"/>
  <c r="R126" i="1"/>
  <c r="T3" i="1" l="1"/>
  <c r="T126" i="1"/>
</calcChain>
</file>

<file path=xl/sharedStrings.xml><?xml version="1.0" encoding="utf-8"?>
<sst xmlns="http://schemas.openxmlformats.org/spreadsheetml/2006/main" count="722" uniqueCount="252">
  <si>
    <t>الرقم</t>
  </si>
  <si>
    <t>الاسم واللقب</t>
  </si>
  <si>
    <t>تاريخ الميلاد</t>
  </si>
  <si>
    <t>مكان الميلاد</t>
  </si>
  <si>
    <t>تاريخ التسجيل</t>
  </si>
  <si>
    <t>الفئه</t>
  </si>
  <si>
    <t>حقوق الاشتراك</t>
  </si>
  <si>
    <t>سبتمبر</t>
  </si>
  <si>
    <t>أكتوبر</t>
  </si>
  <si>
    <t>نوفمبر</t>
  </si>
  <si>
    <t>ديسمبر</t>
  </si>
  <si>
    <t>جانفي</t>
  </si>
  <si>
    <t>فيفري</t>
  </si>
  <si>
    <t>مارس</t>
  </si>
  <si>
    <t>افريل</t>
  </si>
  <si>
    <t xml:space="preserve">ماي </t>
  </si>
  <si>
    <t>جوان</t>
  </si>
  <si>
    <t>جويلية</t>
  </si>
  <si>
    <t>اوت</t>
  </si>
  <si>
    <t>c2</t>
  </si>
  <si>
    <t>Total général</t>
  </si>
  <si>
    <t>Total</t>
  </si>
  <si>
    <t>U13</t>
  </si>
  <si>
    <t>U11</t>
  </si>
  <si>
    <t>U9</t>
  </si>
  <si>
    <t>U7</t>
  </si>
  <si>
    <t>الفئة</t>
  </si>
  <si>
    <t>ANNE DE NAISSANCE</t>
  </si>
  <si>
    <t>ANNE DE NAISSANCE2</t>
  </si>
  <si>
    <t>Somme de حقوق الاشتراك</t>
  </si>
  <si>
    <t xml:space="preserve">بن معيزة عبد الجليل </t>
  </si>
  <si>
    <t xml:space="preserve">بن منصور اياد </t>
  </si>
  <si>
    <t xml:space="preserve">بوعنان وائل </t>
  </si>
  <si>
    <t xml:space="preserve">بوعنان وسيم </t>
  </si>
  <si>
    <t>نويوة محمد</t>
  </si>
  <si>
    <t>سحالي لؤي</t>
  </si>
  <si>
    <t>بن سحنون نسيم</t>
  </si>
  <si>
    <t>الرويبة</t>
  </si>
  <si>
    <t>بن غانم عبد الحفيظ</t>
  </si>
  <si>
    <t>الحراش</t>
  </si>
  <si>
    <t>كودري ايمن</t>
  </si>
  <si>
    <t>ID</t>
  </si>
  <si>
    <t>Français (A)</t>
  </si>
  <si>
    <t>Arabe (B)</t>
  </si>
  <si>
    <t>ERR_NOM</t>
  </si>
  <si>
    <t>❌ Veuillez saisir le nom et prénom.</t>
  </si>
  <si>
    <t>❌ الرجاء إدخال الاسم واللقب.</t>
  </si>
  <si>
    <t>ERR_DATE_N</t>
  </si>
  <si>
    <t>❌ Veuillez saisir une date de naissance valide.</t>
  </si>
  <si>
    <t>❌ الرجاء إدخال تاريخ ميلاد صحيح.</t>
  </si>
  <si>
    <t>ERR_DATE_I</t>
  </si>
  <si>
    <t>❌ Veuillez saisir une date d’inscription valide.</t>
  </si>
  <si>
    <t>❌ الرجاء إدخال تاريخ تسجيل صحيح.</t>
  </si>
  <si>
    <t>ERR_MONTANT</t>
  </si>
  <si>
    <t>❌ Veuillez saisir uniquement des montants numériques.</t>
  </si>
  <si>
    <t>❌ الرجاء إدخال مبالغ رقمية فقط.</t>
  </si>
  <si>
    <t>ERR_CHAINE</t>
  </si>
  <si>
    <t>❌ Le nom et prénom doivent contenir uniquement des lettres.</t>
  </si>
  <si>
    <t>❌ الاسم واللقب يجب أن يحتويان على أحرف فقط.</t>
  </si>
  <si>
    <t>ERR_EXISTE</t>
  </si>
  <si>
    <t>⚠️ Ce joueur existe déjà dans la base (ligne X).</t>
  </si>
  <si>
    <t>⚠️ هذا اللاعب موجود بالفعل في السجل (السطر X).</t>
  </si>
  <si>
    <t>OK_AJOUT</t>
  </si>
  <si>
    <t>✅ Joueur ajouté dans "registre joueur".</t>
  </si>
  <si>
    <t>✅ تمت إضافة اللاعب إلى "سجل اللاعبين".</t>
  </si>
  <si>
    <t>OK_SUPPR</t>
  </si>
  <si>
    <t>✅ Joueur supprimé avec succès.</t>
  </si>
  <si>
    <t>✅ تم حذف اللاعب بنجاح.</t>
  </si>
  <si>
    <t>CONF_SUPPR</t>
  </si>
  <si>
    <t>Voulez-vous vraiment supprimer ce joueur ?</t>
  </si>
  <si>
    <t>هل تريد حقاً حذف هذا اللاعب؟</t>
  </si>
  <si>
    <t>INFO_FORM</t>
  </si>
  <si>
    <t>ℹ️ Le formulaire a été réinitialisé.</t>
  </si>
  <si>
    <t>ℹ️ تمت إعادة تعيين الاستمارة.</t>
  </si>
  <si>
    <t>25</t>
  </si>
  <si>
    <t>heure de saisie</t>
  </si>
  <si>
    <t>عين طاية</t>
  </si>
  <si>
    <t>علوي عبد المالك</t>
  </si>
  <si>
    <t>تموم نوفل عصام</t>
  </si>
  <si>
    <t>زرالدة</t>
  </si>
  <si>
    <t>حسين داي</t>
  </si>
  <si>
    <t>حيدرة</t>
  </si>
  <si>
    <t>باتنة</t>
  </si>
  <si>
    <t>فيساح محمد عبد الوكيل</t>
  </si>
  <si>
    <t>القبة</t>
  </si>
  <si>
    <t>بكيري محمد</t>
  </si>
  <si>
    <t xml:space="preserve">عين طاية </t>
  </si>
  <si>
    <t>عروري عبد الله</t>
  </si>
  <si>
    <t>سطيف</t>
  </si>
  <si>
    <t>طحطاح يحي وائل</t>
  </si>
  <si>
    <t>طحطاح اياد هيثم</t>
  </si>
  <si>
    <t>بلعيفة محمد  زكرياء</t>
  </si>
  <si>
    <t>الابيار</t>
  </si>
  <si>
    <t>غناي اويس</t>
  </si>
  <si>
    <t>طارق محمد مهدي</t>
  </si>
  <si>
    <t>خليفي ادريس</t>
  </si>
  <si>
    <t>لعداوري عمار</t>
  </si>
  <si>
    <t xml:space="preserve">خربان سيف الدين </t>
  </si>
  <si>
    <t>خربان  عبد الشفيع أسامة</t>
  </si>
  <si>
    <t>فرج الله محمد مهدي</t>
  </si>
  <si>
    <t>بلحربي محمد ادم</t>
  </si>
  <si>
    <t>بئر مراد رايس</t>
  </si>
  <si>
    <t>زاهوي اياد ريان</t>
  </si>
  <si>
    <t>لراشي لياس</t>
  </si>
  <si>
    <t>رحيش عبد الجليل</t>
  </si>
  <si>
    <t>برزيقة ادم</t>
  </si>
  <si>
    <t>تفات اشرف</t>
  </si>
  <si>
    <t>تفات عبد الباسط</t>
  </si>
  <si>
    <t>حيدر سيف الدين</t>
  </si>
  <si>
    <t>حيدر اياد</t>
  </si>
  <si>
    <t>روابح إسماعيل</t>
  </si>
  <si>
    <t>موزاوي هاني</t>
  </si>
  <si>
    <t>خشان ايمن</t>
  </si>
  <si>
    <t>شابي محمد زاكي</t>
  </si>
  <si>
    <t>باب الواد</t>
  </si>
  <si>
    <t>بن عياش فراس عبد الجليل</t>
  </si>
  <si>
    <t>بن عياش طه محمد صالح</t>
  </si>
  <si>
    <t>خبيطي محمد</t>
  </si>
  <si>
    <t>بغداد يونس</t>
  </si>
  <si>
    <t>جفال يونس</t>
  </si>
  <si>
    <t>جفال عمر</t>
  </si>
  <si>
    <t>الحنافي بلقاسم</t>
  </si>
  <si>
    <t>تفات معاذ</t>
  </si>
  <si>
    <t>بن احمد امير سليمان</t>
  </si>
  <si>
    <t>بن احمد منيل</t>
  </si>
  <si>
    <t>عبد القرفي عبد الرؤوف</t>
  </si>
  <si>
    <t>علوي عبد الرحمان</t>
  </si>
  <si>
    <t>تفات وسيم</t>
  </si>
  <si>
    <t>غبوب عبدالرؤوف</t>
  </si>
  <si>
    <t>غبوب محمد</t>
  </si>
  <si>
    <t>راجع محمد</t>
  </si>
  <si>
    <t>الحمامات</t>
  </si>
  <si>
    <t>غرداية</t>
  </si>
  <si>
    <t>الاسم واللقب المدرب</t>
  </si>
  <si>
    <t>u9</t>
  </si>
  <si>
    <t>حقوق المدرب</t>
  </si>
  <si>
    <t>Active</t>
  </si>
  <si>
    <t>قادري جود عبد الحق</t>
  </si>
  <si>
    <t>بن منصور مهدي يونس</t>
  </si>
  <si>
    <t>بوعنان وائل الياس</t>
  </si>
  <si>
    <t>فركيوي محمد ريان</t>
  </si>
  <si>
    <t>حيدر ايمن نوح</t>
  </si>
  <si>
    <t>فاطمي سفيان</t>
  </si>
  <si>
    <t>سيدي امحمد</t>
  </si>
  <si>
    <t>خميس الخشنة</t>
  </si>
  <si>
    <t>بودوح خالد سليمان</t>
  </si>
  <si>
    <t>بني مسوس</t>
  </si>
  <si>
    <t>سيد امحمد</t>
  </si>
  <si>
    <t>مفتاح</t>
  </si>
  <si>
    <t>بلعربية عبد الاله</t>
  </si>
  <si>
    <t>ياسف عبد الحميد</t>
  </si>
  <si>
    <t>غبوب حمزة</t>
  </si>
  <si>
    <t>سيدامحمد</t>
  </si>
  <si>
    <t>الوناس يوبا</t>
  </si>
  <si>
    <t>براكة هارون</t>
  </si>
  <si>
    <t>براكة إسحاق</t>
  </si>
  <si>
    <t>غبوب يزيد</t>
  </si>
  <si>
    <t>سباعي يحي</t>
  </si>
  <si>
    <t>باب الوادي</t>
  </si>
  <si>
    <t>لعجال حمزة</t>
  </si>
  <si>
    <t>بوحميدي صفوان جواد</t>
  </si>
  <si>
    <t>عزيب موسى يوسف</t>
  </si>
  <si>
    <t>دومي جواد معتصم</t>
  </si>
  <si>
    <t>حلوفي اكرم جهاد</t>
  </si>
  <si>
    <t xml:space="preserve"> شرقي محمد</t>
  </si>
  <si>
    <t>موزاوي مروان</t>
  </si>
  <si>
    <t>u11</t>
  </si>
  <si>
    <t>علوي اسامة</t>
  </si>
  <si>
    <t>بودلال صهيب</t>
  </si>
  <si>
    <t>u7</t>
  </si>
  <si>
    <t>ياسف منور</t>
  </si>
  <si>
    <t xml:space="preserve">     المكان</t>
  </si>
  <si>
    <t xml:space="preserve">      الرقم</t>
  </si>
  <si>
    <t xml:space="preserve">     تاريخ </t>
  </si>
  <si>
    <t xml:space="preserve">     المبلغ</t>
  </si>
  <si>
    <t xml:space="preserve">     صاحب الحافلة</t>
  </si>
  <si>
    <t>4500+1500</t>
  </si>
  <si>
    <t>عمي لخضر+وليد عمو</t>
  </si>
  <si>
    <t>لوكاري خاليل</t>
  </si>
  <si>
    <t>علو ي ياسين</t>
  </si>
  <si>
    <t>كرنوق احمد علي</t>
  </si>
  <si>
    <t>موزاوي علاء الدين</t>
  </si>
  <si>
    <t>حيدر امير</t>
  </si>
  <si>
    <t>الرغاية</t>
  </si>
  <si>
    <t>عبيزة رمزي</t>
  </si>
  <si>
    <t>برج الكيفان</t>
  </si>
  <si>
    <t>الاربعطاش</t>
  </si>
  <si>
    <t>شعابنية محمد</t>
  </si>
  <si>
    <t>خير الدين عبد الرحمان</t>
  </si>
  <si>
    <t>U6</t>
  </si>
  <si>
    <t>+SI(U6="Abandonne";"خارج الفريق";SI(ET(ANNEE([@[تاريخ الميلاد]])&gt;=parametre!$B$3;ANNEE([@[تاريخ الميلاد]])&lt;=parametre!$C$3);parametre!$A$3;SI(ET(ANNEE([@[تاريخ الميلاد]])&gt;=parametre!$B$4;ANNEE([@[تاريخ الميلاد]])&lt;=parametre!$C$4);parametre!$A$4;SI(ET(ANNEE([@[تاريخ الميلاد]])&gt;=parametre!$B$5;ANNEE([@[تاريخ الميلاد]])&lt;=parametre!$C$5);parametre!$A$5;SI(ET(ANNEE([@[تاريخ الميلاد]])&gt;=parametre!$B$6;ANNEE([@[تاريخ الميلاد]])&lt;=parametre!$C$6);parametre!$A$6;SI(ET(ANNEE([@[تاريخ الميلاد]])&gt;=parametre!$B$8;ANNEE([@[تاريخ الميلاد]])&lt;=parametre!$C$8);parametre!$A$8;SI(ET(ANNEE([@[تاريخ الميلاد]])&gt;=parametre!$B$7;ANNEE([@[تاريخ الميلاد]])&lt;=parametre!$C$7);parametre!$A$7;"")))))))</t>
  </si>
  <si>
    <t>U14</t>
  </si>
  <si>
    <t>عبيزة محمد امين</t>
  </si>
  <si>
    <t>نايت محمد مهدي</t>
  </si>
  <si>
    <t>بن النوي أمجد براء الدين</t>
  </si>
  <si>
    <t>قالمة</t>
  </si>
  <si>
    <t>الثنية</t>
  </si>
  <si>
    <t>شرشالي محمد فايز</t>
  </si>
  <si>
    <t>شراق سيدعلي</t>
  </si>
  <si>
    <t>u13 2</t>
  </si>
  <si>
    <t>u13 1</t>
  </si>
  <si>
    <t>زياني مهدي</t>
  </si>
  <si>
    <t>بن بورنان ياسين</t>
  </si>
  <si>
    <t>حنو محمد امين</t>
  </si>
  <si>
    <t>عيشاتن ياسر</t>
  </si>
  <si>
    <t>سعداوي حسان</t>
  </si>
  <si>
    <t>ياسين</t>
  </si>
  <si>
    <t>رماش عبد الخالق</t>
  </si>
  <si>
    <t>البليدة</t>
  </si>
  <si>
    <t>عبان رمضان</t>
  </si>
  <si>
    <t>بن شوبان</t>
  </si>
  <si>
    <t>سعيدي عمر</t>
  </si>
  <si>
    <t>الدار البيضاء</t>
  </si>
  <si>
    <t>درقانة</t>
  </si>
  <si>
    <t>سعداوي فتح النور</t>
  </si>
  <si>
    <t>حميش فارس</t>
  </si>
  <si>
    <t>المرادية</t>
  </si>
  <si>
    <t>حدادو عبد الرؤوف</t>
  </si>
  <si>
    <t>بومرداس</t>
  </si>
  <si>
    <t>دشير مهدي بدر الدين</t>
  </si>
  <si>
    <t>مشيد عبد الله</t>
  </si>
  <si>
    <t>تشنتشيني وسيم جواد</t>
  </si>
  <si>
    <t>جسر قسنطينة</t>
  </si>
  <si>
    <t>لماشي محمد بوعلام</t>
  </si>
  <si>
    <t>دشير يونس</t>
  </si>
  <si>
    <t>دشير انس</t>
  </si>
  <si>
    <t>جفال عبد الرؤوف</t>
  </si>
  <si>
    <t>شريف امازيغ</t>
  </si>
  <si>
    <t>رباحي امير نور الدين</t>
  </si>
  <si>
    <t>سحال ايوب</t>
  </si>
  <si>
    <t>عيشاتن محمد ياسر</t>
  </si>
  <si>
    <t>منصور امين</t>
  </si>
  <si>
    <t>ساكر زكرياء</t>
  </si>
  <si>
    <t>حجاج ياسر</t>
  </si>
  <si>
    <t>عماري محمد</t>
  </si>
  <si>
    <t xml:space="preserve">بوجمعة عبد الحي </t>
  </si>
  <si>
    <t>لعداوري عبد الرحمان</t>
  </si>
  <si>
    <t>سباعات</t>
  </si>
  <si>
    <t>بن واضح</t>
  </si>
  <si>
    <t>الحميز</t>
  </si>
  <si>
    <t>بغدادي محمد</t>
  </si>
  <si>
    <t>محمودي محمد نور الإسلام</t>
  </si>
  <si>
    <t>0</t>
  </si>
  <si>
    <t>Colonne1</t>
  </si>
  <si>
    <t>صياد اسلام</t>
  </si>
  <si>
    <t>مادي زكرياء</t>
  </si>
  <si>
    <t>بوطولة عمر رفيق</t>
  </si>
  <si>
    <t>كودري سيف الدين</t>
  </si>
  <si>
    <t>مشالي معاذ</t>
  </si>
  <si>
    <t>فيساح اصيل</t>
  </si>
  <si>
    <t>لداوري عمار</t>
  </si>
  <si>
    <t>دار البيضاء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</si>
</sst>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&quot;Da&quot;_-;\-* #,##0.00\ &quot;Da&quot;_-;_-* &quot;-&quot;??\ &quot;Da&quot;_-;_-@_-"/>
  </numFmts>
  <fonts count="3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6"/>
      <color rgb="FF282625"/>
      <name val="Source Sans Pro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0000"/>
      <name val="Calibri"/>
      <family val="2"/>
    </font>
    <font>
      <b/>
      <u/>
      <sz val="14"/>
      <color theme="1"/>
      <name val="Aptos Narrow"/>
      <family val="2"/>
      <scheme val="minor"/>
    </font>
    <font>
      <sz val="16"/>
      <color theme="0"/>
      <name val="Source Sans Pro"/>
      <family val="2"/>
    </font>
    <font>
      <b/>
      <sz val="18"/>
      <color theme="3" tint="9.9978637043366805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0"/>
      <name val="Source Sans Pro"/>
      <family val="2"/>
    </font>
    <font>
      <sz val="16"/>
      <color theme="1"/>
      <name val="Source Sans Pro"/>
      <family val="2"/>
    </font>
    <font>
      <sz val="16"/>
      <color theme="1"/>
      <name val="Aptos Narrow"/>
      <family val="2"/>
      <scheme val="minor"/>
    </font>
    <font>
      <sz val="16"/>
      <color theme="2" tint="-0.89999084444715716"/>
      <name val="Source Sans Pro"/>
      <family val="2"/>
    </font>
    <font>
      <b/>
      <sz val="14"/>
      <color theme="1"/>
      <name val="Aptos Narrow"/>
      <family val="2"/>
      <scheme val="minor"/>
    </font>
    <font>
      <b/>
      <sz val="16"/>
      <color theme="1"/>
      <name val="Source Sans Pro"/>
      <family val="2"/>
    </font>
    <font>
      <b/>
      <sz val="18"/>
      <color theme="1"/>
      <name val="Aptos Narrow"/>
      <family val="2"/>
      <scheme val="minor"/>
    </font>
    <font>
      <b/>
      <sz val="18"/>
      <color theme="1"/>
      <name val="Source Sans Pro"/>
      <family val="2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theme="0"/>
      <name val="Source Sans Pro"/>
      <family val="2"/>
    </font>
    <font>
      <sz val="14"/>
      <name val="Source Sans Pro"/>
      <family val="2"/>
    </font>
    <font>
      <b/>
      <sz val="22"/>
      <color rgb="FF000000"/>
      <name val="Aptos Narrow"/>
      <family val="2"/>
    </font>
    <font>
      <sz val="22"/>
      <color rgb="FF000000"/>
      <name val="Aptos Narrow"/>
      <family val="2"/>
    </font>
    <font>
      <sz val="14"/>
      <color theme="1"/>
      <name val="Aptos Narrow"/>
      <family val="2"/>
      <scheme val="minor"/>
    </font>
    <font>
      <b/>
      <u/>
      <sz val="14"/>
      <name val="Aptos Narrow"/>
      <family val="2"/>
      <scheme val="minor"/>
    </font>
    <font>
      <b/>
      <sz val="14"/>
      <name val="Source Sans Pro"/>
      <family val="2"/>
    </font>
    <font>
      <sz val="16"/>
      <name val="Source Sans Pro"/>
      <family val="2"/>
    </font>
    <font>
      <sz val="14"/>
      <name val="Calibri"/>
      <family val="2"/>
    </font>
    <font>
      <sz val="14"/>
      <name val="Aptos Narrow"/>
      <family val="2"/>
      <scheme val="minor"/>
    </font>
    <font>
      <b/>
      <sz val="14"/>
      <name val="Aptos Narrow"/>
      <family val="2"/>
      <scheme val="minor"/>
    </font>
    <font>
      <b/>
      <sz val="18"/>
      <name val="Source Sans Pro"/>
      <family val="2"/>
    </font>
    <font>
      <b/>
      <sz val="18"/>
      <name val="Aptos Narrow"/>
      <family val="2"/>
      <scheme val="minor"/>
    </font>
    <font>
      <sz val="14"/>
      <color rgb="FF960000"/>
      <name val="Aptos Narrow"/>
      <family val="2"/>
      <scheme val="minor"/>
    </font>
    <font>
      <b/>
      <sz val="14"/>
      <color rgb="FF960000"/>
      <name val="Aptos Narrow"/>
      <family val="2"/>
      <scheme val="minor"/>
    </font>
    <font>
      <b/>
      <sz val="14"/>
      <color theme="1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rgb="FFFFC8C8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7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4" fillId="2" borderId="7" xfId="0" applyFont="1" applyFill="1" applyBorder="1"/>
    <xf numFmtId="0" fontId="0" fillId="0" borderId="0" xfId="0" pivotButton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14" fontId="5" fillId="0" borderId="2" xfId="0" applyNumberFormat="1" applyFont="1" applyBorder="1" applyAlignment="1">
      <alignment horizontal="center" vertical="center"/>
    </xf>
    <xf numFmtId="0" fontId="9" fillId="4" borderId="3" xfId="0" applyFont="1" applyFill="1" applyBorder="1"/>
    <xf numFmtId="164" fontId="9" fillId="4" borderId="4" xfId="1" applyFont="1" applyFill="1" applyBorder="1"/>
    <xf numFmtId="0" fontId="0" fillId="0" borderId="0" xfId="0" applyProtection="1">
      <protection locked="0"/>
    </xf>
    <xf numFmtId="0" fontId="12" fillId="0" borderId="13" xfId="0" applyFont="1" applyBorder="1" applyAlignment="1">
      <alignment horizontal="center" vertical="center"/>
    </xf>
    <xf numFmtId="0" fontId="9" fillId="0" borderId="0" xfId="0" applyFont="1"/>
    <xf numFmtId="164" fontId="9" fillId="0" borderId="0" xfId="1" applyFont="1" applyFill="1" applyBorder="1" applyProtection="1">
      <protection locked="0"/>
    </xf>
    <xf numFmtId="164" fontId="9" fillId="0" borderId="0" xfId="1" applyFont="1" applyFill="1" applyBorder="1"/>
    <xf numFmtId="0" fontId="11" fillId="3" borderId="3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14" fontId="0" fillId="0" borderId="0" xfId="0" applyNumberFormat="1"/>
    <xf numFmtId="0" fontId="6" fillId="0" borderId="0" xfId="0" applyFont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13" fillId="0" borderId="0" xfId="0" applyFont="1"/>
    <xf numFmtId="0" fontId="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4" fillId="0" borderId="23" xfId="0" applyFont="1" applyBorder="1" applyAlignment="1">
      <alignment horizontal="center" vertical="center"/>
    </xf>
    <xf numFmtId="164" fontId="15" fillId="0" borderId="2" xfId="1" applyFont="1" applyBorder="1" applyAlignment="1" applyProtection="1">
      <alignment horizontal="center" vertical="center"/>
      <protection locked="0"/>
    </xf>
    <xf numFmtId="164" fontId="15" fillId="0" borderId="12" xfId="1" applyFont="1" applyBorder="1" applyAlignment="1" applyProtection="1">
      <alignment horizontal="center" vertical="center"/>
      <protection locked="0"/>
    </xf>
    <xf numFmtId="164" fontId="16" fillId="0" borderId="23" xfId="1" applyFont="1" applyBorder="1" applyAlignment="1">
      <alignment horizontal="center" vertical="center"/>
    </xf>
    <xf numFmtId="164" fontId="16" fillId="0" borderId="13" xfId="1" applyFont="1" applyBorder="1" applyAlignment="1">
      <alignment horizontal="center" vertical="center"/>
    </xf>
    <xf numFmtId="164" fontId="16" fillId="0" borderId="24" xfId="1" applyFont="1" applyBorder="1" applyAlignment="1">
      <alignment horizontal="center" vertical="center"/>
    </xf>
    <xf numFmtId="164" fontId="17" fillId="0" borderId="12" xfId="1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14" fontId="5" fillId="0" borderId="26" xfId="0" applyNumberFormat="1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164" fontId="15" fillId="0" borderId="26" xfId="1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4" fontId="19" fillId="0" borderId="13" xfId="0" applyNumberFormat="1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164" fontId="20" fillId="0" borderId="23" xfId="1" applyFont="1" applyBorder="1" applyAlignment="1">
      <alignment horizontal="center" vertical="center"/>
    </xf>
    <xf numFmtId="164" fontId="5" fillId="0" borderId="26" xfId="1" applyFont="1" applyBorder="1" applyAlignment="1">
      <alignment horizontal="center" vertical="center"/>
    </xf>
    <xf numFmtId="164" fontId="17" fillId="0" borderId="26" xfId="1" applyFont="1" applyBorder="1" applyAlignment="1">
      <alignment horizontal="center" vertical="center"/>
    </xf>
    <xf numFmtId="22" fontId="12" fillId="0" borderId="13" xfId="0" applyNumberFormat="1" applyFont="1" applyBorder="1" applyAlignment="1">
      <alignment horizontal="center" vertical="center"/>
    </xf>
    <xf numFmtId="14" fontId="5" fillId="0" borderId="13" xfId="0" applyNumberFormat="1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164" fontId="15" fillId="0" borderId="23" xfId="1" applyFont="1" applyBorder="1" applyAlignment="1" applyProtection="1">
      <alignment horizontal="center" vertical="center"/>
      <protection locked="0"/>
    </xf>
    <xf numFmtId="164" fontId="15" fillId="0" borderId="13" xfId="1" applyFont="1" applyBorder="1" applyAlignment="1" applyProtection="1">
      <alignment horizontal="center" vertical="center"/>
      <protection locked="0"/>
    </xf>
    <xf numFmtId="164" fontId="15" fillId="0" borderId="24" xfId="1" applyFont="1" applyBorder="1" applyAlignment="1" applyProtection="1">
      <alignment horizontal="center" vertical="center"/>
      <protection locked="0"/>
    </xf>
    <xf numFmtId="164" fontId="17" fillId="0" borderId="13" xfId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14" fontId="5" fillId="0" borderId="12" xfId="0" applyNumberFormat="1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164" fontId="5" fillId="0" borderId="12" xfId="1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19" fillId="0" borderId="15" xfId="0" applyFont="1" applyBorder="1" applyAlignment="1" applyProtection="1">
      <alignment horizontal="center" vertical="center"/>
      <protection locked="0"/>
    </xf>
    <xf numFmtId="0" fontId="19" fillId="0" borderId="14" xfId="0" applyFont="1" applyBorder="1" applyAlignment="1" applyProtection="1">
      <alignment horizontal="center"/>
      <protection locked="0"/>
    </xf>
    <xf numFmtId="14" fontId="5" fillId="0" borderId="12" xfId="0" applyNumberFormat="1" applyFont="1" applyBorder="1" applyAlignment="1" applyProtection="1">
      <alignment horizontal="center" vertical="center"/>
      <protection locked="0"/>
    </xf>
    <xf numFmtId="14" fontId="5" fillId="0" borderId="2" xfId="0" applyNumberFormat="1" applyFont="1" applyBorder="1" applyAlignment="1" applyProtection="1">
      <alignment horizontal="center" vertical="center"/>
      <protection locked="0"/>
    </xf>
    <xf numFmtId="14" fontId="19" fillId="0" borderId="2" xfId="0" applyNumberFormat="1" applyFont="1" applyBorder="1" applyAlignment="1" applyProtection="1">
      <alignment horizontal="center" vertical="center"/>
      <protection locked="0"/>
    </xf>
    <xf numFmtId="14" fontId="19" fillId="0" borderId="6" xfId="0" applyNumberFormat="1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 applyProtection="1">
      <alignment horizontal="center" vertical="center"/>
      <protection locked="0"/>
    </xf>
    <xf numFmtId="0" fontId="19" fillId="0" borderId="6" xfId="0" applyFont="1" applyBorder="1" applyAlignment="1" applyProtection="1">
      <alignment horizontal="center"/>
      <protection locked="0"/>
    </xf>
    <xf numFmtId="164" fontId="20" fillId="0" borderId="2" xfId="1" applyFont="1" applyBorder="1" applyAlignment="1" applyProtection="1">
      <alignment horizontal="center" vertical="center"/>
      <protection locked="0"/>
    </xf>
    <xf numFmtId="164" fontId="20" fillId="0" borderId="6" xfId="1" applyFont="1" applyBorder="1" applyAlignment="1" applyProtection="1">
      <alignment horizontal="center" vertical="center"/>
      <protection locked="0"/>
    </xf>
    <xf numFmtId="164" fontId="15" fillId="0" borderId="6" xfId="1" applyFont="1" applyBorder="1" applyAlignment="1" applyProtection="1">
      <alignment horizontal="center" vertical="center"/>
      <protection locked="0"/>
    </xf>
    <xf numFmtId="164" fontId="5" fillId="0" borderId="2" xfId="1" applyFont="1" applyBorder="1" applyAlignment="1" applyProtection="1">
      <alignment horizontal="center" vertical="center"/>
      <protection locked="0"/>
    </xf>
    <xf numFmtId="164" fontId="5" fillId="0" borderId="6" xfId="1" applyFont="1" applyBorder="1" applyAlignment="1" applyProtection="1">
      <alignment horizontal="center" vertical="center"/>
      <protection locked="0"/>
    </xf>
    <xf numFmtId="164" fontId="17" fillId="0" borderId="2" xfId="1" applyFont="1" applyBorder="1" applyAlignment="1">
      <alignment horizontal="center" vertical="center"/>
    </xf>
    <xf numFmtId="164" fontId="17" fillId="0" borderId="6" xfId="1" applyFont="1" applyBorder="1" applyAlignment="1">
      <alignment horizontal="center" vertical="center"/>
    </xf>
    <xf numFmtId="164" fontId="18" fillId="0" borderId="13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64" fontId="21" fillId="0" borderId="31" xfId="1" applyFont="1" applyBorder="1" applyAlignment="1" applyProtection="1">
      <alignment horizontal="center" vertical="center"/>
      <protection locked="0"/>
    </xf>
    <xf numFmtId="164" fontId="19" fillId="0" borderId="31" xfId="1" applyFont="1" applyBorder="1" applyAlignment="1" applyProtection="1">
      <alignment horizontal="center" vertical="center"/>
      <protection locked="0"/>
    </xf>
    <xf numFmtId="0" fontId="22" fillId="0" borderId="2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4" borderId="13" xfId="0" applyFont="1" applyFill="1" applyBorder="1"/>
    <xf numFmtId="164" fontId="13" fillId="4" borderId="13" xfId="0" applyNumberFormat="1" applyFont="1" applyFill="1" applyBorder="1"/>
    <xf numFmtId="164" fontId="25" fillId="0" borderId="31" xfId="1" applyFont="1" applyBorder="1" applyAlignment="1" applyProtection="1">
      <alignment horizontal="center" vertical="center"/>
      <protection locked="0"/>
    </xf>
    <xf numFmtId="14" fontId="22" fillId="0" borderId="2" xfId="0" applyNumberFormat="1" applyFont="1" applyBorder="1" applyAlignment="1">
      <alignment horizontal="center" vertical="center"/>
    </xf>
    <xf numFmtId="14" fontId="22" fillId="0" borderId="12" xfId="0" applyNumberFormat="1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164" fontId="27" fillId="0" borderId="28" xfId="1" applyFont="1" applyBorder="1" applyAlignment="1" applyProtection="1">
      <alignment horizontal="center" vertical="center"/>
      <protection locked="0"/>
    </xf>
    <xf numFmtId="164" fontId="27" fillId="0" borderId="29" xfId="1" applyFont="1" applyBorder="1" applyAlignment="1" applyProtection="1">
      <alignment horizontal="center" vertical="center"/>
      <protection locked="0"/>
    </xf>
    <xf numFmtId="164" fontId="27" fillId="0" borderId="30" xfId="1" applyFont="1" applyBorder="1" applyAlignment="1" applyProtection="1">
      <alignment horizontal="center" vertical="center"/>
      <protection locked="0"/>
    </xf>
    <xf numFmtId="0" fontId="28" fillId="0" borderId="23" xfId="0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14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164" fontId="31" fillId="0" borderId="12" xfId="1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14" fontId="30" fillId="0" borderId="2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64" fontId="31" fillId="0" borderId="2" xfId="1" applyFont="1" applyBorder="1" applyAlignment="1" applyProtection="1">
      <alignment horizontal="center" vertical="center"/>
      <protection locked="0"/>
    </xf>
    <xf numFmtId="164" fontId="32" fillId="0" borderId="2" xfId="1" applyFont="1" applyBorder="1" applyAlignment="1">
      <alignment horizontal="center" vertical="center"/>
    </xf>
    <xf numFmtId="164" fontId="33" fillId="0" borderId="12" xfId="1" applyFont="1" applyBorder="1" applyAlignment="1">
      <alignment horizontal="center" vertical="center"/>
    </xf>
    <xf numFmtId="164" fontId="15" fillId="0" borderId="30" xfId="1" applyFont="1" applyBorder="1" applyAlignment="1" applyProtection="1">
      <alignment horizontal="center" vertical="center"/>
      <protection locked="0"/>
    </xf>
    <xf numFmtId="164" fontId="15" fillId="0" borderId="0" xfId="1" applyFont="1" applyBorder="1" applyAlignment="1" applyProtection="1">
      <alignment horizontal="center" vertical="center"/>
      <protection locked="0"/>
    </xf>
    <xf numFmtId="0" fontId="34" fillId="5" borderId="7" xfId="0" applyFont="1" applyFill="1" applyBorder="1" applyAlignment="1">
      <alignment horizontal="left" vertical="center"/>
    </xf>
    <xf numFmtId="14" fontId="34" fillId="5" borderId="7" xfId="0" applyNumberFormat="1" applyFont="1" applyFill="1" applyBorder="1" applyAlignment="1">
      <alignment horizontal="left" vertical="center"/>
    </xf>
    <xf numFmtId="164" fontId="35" fillId="5" borderId="7" xfId="1" applyFont="1" applyFill="1" applyBorder="1" applyAlignment="1">
      <alignment horizontal="left" vertical="center"/>
    </xf>
    <xf numFmtId="0" fontId="35" fillId="5" borderId="7" xfId="0" applyFont="1" applyFill="1" applyBorder="1" applyAlignment="1">
      <alignment horizontal="left" vertical="center"/>
    </xf>
    <xf numFmtId="0" fontId="5" fillId="0" borderId="6" xfId="0" applyFont="1" applyBorder="1" applyAlignment="1">
      <alignment horizontal="center" vertical="center"/>
    </xf>
    <xf numFmtId="14" fontId="5" fillId="0" borderId="6" xfId="0" applyNumberFormat="1" applyFont="1" applyBorder="1" applyAlignment="1">
      <alignment horizontal="center" vertical="center"/>
    </xf>
    <xf numFmtId="164" fontId="15" fillId="0" borderId="32" xfId="1" applyFont="1" applyBorder="1" applyAlignment="1" applyProtection="1">
      <alignment horizontal="center" vertical="center"/>
      <protection locked="0"/>
    </xf>
    <xf numFmtId="164" fontId="16" fillId="0" borderId="24" xfId="1" applyFont="1" applyBorder="1" applyAlignment="1">
      <alignment horizontal="center"/>
    </xf>
    <xf numFmtId="164" fontId="36" fillId="0" borderId="29" xfId="1" applyFont="1" applyBorder="1" applyAlignment="1" applyProtection="1">
      <alignment horizontal="center" vertical="center"/>
      <protection locked="0"/>
    </xf>
    <xf numFmtId="164" fontId="36" fillId="0" borderId="30" xfId="1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164" fontId="15" fillId="0" borderId="28" xfId="1" applyFont="1" applyBorder="1" applyAlignment="1" applyProtection="1">
      <alignment horizontal="center" vertical="center"/>
      <protection locked="0"/>
    </xf>
    <xf numFmtId="164" fontId="15" fillId="0" borderId="29" xfId="1" applyFont="1" applyBorder="1" applyAlignment="1" applyProtection="1">
      <alignment horizontal="center" vertical="center"/>
      <protection locked="0"/>
    </xf>
    <xf numFmtId="164" fontId="15" fillId="0" borderId="31" xfId="1" applyFont="1" applyBorder="1" applyAlignment="1" applyProtection="1">
      <alignment horizontal="center" vertical="center"/>
      <protection locked="0"/>
    </xf>
    <xf numFmtId="164" fontId="5" fillId="0" borderId="31" xfId="1" applyFont="1" applyBorder="1" applyAlignment="1" applyProtection="1">
      <alignment horizontal="center" vertical="center"/>
      <protection locked="0"/>
    </xf>
  </cellXfs>
  <cellStyles count="2">
    <cellStyle name="Monétaire" xfId="1" builtinId="4"/>
    <cellStyle name="Normal" xfId="0" builtinId="0"/>
  </cellStyles>
  <dxfs count="23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8"/>
        <color auto="1"/>
      </font>
      <numFmt numFmtId="164" formatCode="_-* #,##0.00\ &quot;Da&quot;_-;\-* #,##0.00\ &quot;Da&quot;_-;_-* &quot;-&quot;??\ &quot;Da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theme="1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theme="1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  <color auto="1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  <color auto="1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  <color auto="1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  <color auto="1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  <color auto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/>
        <vertAlign val="baseline"/>
        <sz val="14"/>
        <color auto="1"/>
        <name val="Aptos Narrow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4"/>
        <color auto="1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4"/>
        <color auto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4"/>
        <color auto="1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4"/>
        <color auto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4"/>
        <color auto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scheme val="minor"/>
      </font>
      <fill>
        <patternFill patternType="solid">
          <fgColor indexed="64"/>
          <bgColor rgb="FFFFFF00"/>
        </patternFill>
      </fill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Source Sans Pro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8"/>
      </font>
      <numFmt numFmtId="164" formatCode="_-* #,##0.00\ &quot;Da&quot;_-;\-* #,##0.00\ &quot;Da&quot;_-;_-* &quot;-&quot;??\ &quot;Da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_-* #,##0.00\ &quot;Da&quot;_-;\-* #,##0.00\ &quot;Da&quot;_-;_-* &quot;-&quot;??\ &quot;Da&quot;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/>
        <vertAlign val="baseline"/>
        <sz val="14"/>
        <color theme="1"/>
        <name val="Aptos Narrow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4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4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scheme val="minor"/>
      </font>
      <fill>
        <patternFill patternType="solid">
          <fgColor indexed="64"/>
          <bgColor rgb="FFFFFF00"/>
        </patternFill>
      </fill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Source Sans Pro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161925</xdr:rowOff>
        </xdr:from>
        <xdr:to>
          <xdr:col>1</xdr:col>
          <xdr:colOff>1504950</xdr:colOff>
          <xdr:row>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fr-FR" sz="2200" b="1" i="0" u="none" strike="noStrike" baseline="0">
                  <a:solidFill>
                    <a:srgbClr val="000000"/>
                  </a:solidFill>
                  <a:latin typeface="Aptos Narrow"/>
                </a:rPr>
                <a:t>تسجيل الاعب</a:t>
              </a:r>
              <a:r>
                <a:rPr lang="fr-FR" sz="2200" b="0" i="0" u="none" strike="noStrike" baseline="0">
                  <a:solidFill>
                    <a:srgbClr val="000000"/>
                  </a:solidFill>
                  <a:latin typeface="Aptos Narrow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</xdr:row>
          <xdr:rowOff>9525</xdr:rowOff>
        </xdr:from>
        <xdr:to>
          <xdr:col>7</xdr:col>
          <xdr:colOff>733425</xdr:colOff>
          <xdr:row>2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fr-FR" sz="2200" b="1" i="0" u="none" strike="noStrike" baseline="0">
                  <a:solidFill>
                    <a:srgbClr val="000000"/>
                  </a:solidFill>
                  <a:latin typeface="Aptos Narrow"/>
                </a:rPr>
                <a:t>البحث عن الاعب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74083</xdr:colOff>
      <xdr:row>3</xdr:row>
      <xdr:rowOff>74084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الفئه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الفئه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92477767" y="0"/>
              <a:ext cx="3550708" cy="7789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formatics" refreshedDate="46044.992339467593" createdVersion="8" refreshedVersion="8" minRefreshableVersion="3" recordCount="94" xr:uid="{00000000-000A-0000-FFFF-FFFF00000000}">
  <cacheSource type="worksheet">
    <worksheetSource name="Tableau1"/>
  </cacheSource>
  <cacheFields count="21">
    <cacheField name="الرقم" numFmtId="0">
      <sharedItems containsSemiMixedTypes="0" containsString="0" containsNumber="1" containsInteger="1" minValue="1" maxValue="94"/>
    </cacheField>
    <cacheField name="الاسم واللقب" numFmtId="0">
      <sharedItems containsBlank="1" count="128">
        <s v="سعداوي فتح النور"/>
        <s v="رماش عبد الخالق"/>
        <s v="سعداوي حسان"/>
        <s v="عيشاتن ياسر"/>
        <s v="حنو محمد امين"/>
        <s v="بن بورنان ياسين"/>
        <s v="شرشالي محمد فايز"/>
        <m/>
        <s v="نايت محمد مهدي"/>
        <s v="خير الدين عبد الرحمان"/>
        <s v="حيدر امير"/>
        <s v="عبيزة محمد امين"/>
        <s v="موزاوي علاء الدين"/>
        <s v="كرنوق احمد علي"/>
        <s v="علو ي ياسين"/>
        <s v="ياسف منور"/>
        <s v="شعابنية محمد"/>
        <s v="عبيزة رمزي"/>
        <s v="بودلال صهيب"/>
        <s v="لعجال حمزة"/>
        <s v=" شرقي محمد"/>
        <s v="سباعي يحي"/>
        <s v="زياني مهدي"/>
        <s v="غبوب يزيد"/>
        <s v="براكة إسحاق"/>
        <s v="براكة هارون"/>
        <s v="الوناس يوبا"/>
        <s v="غبوب حمزة"/>
        <s v="ياسف عبد الحميد"/>
        <s v="بلعربية عبد الاله"/>
        <s v="قادري جود عبد الحق"/>
        <s v="راجع محمد"/>
        <s v="غبوب محمد"/>
        <s v="غبوب عبدالرؤوف"/>
        <s v="تفات وسيم"/>
        <s v="عبد القرفي عبد الرؤوف"/>
        <s v="بن احمد منيل"/>
        <s v="بن احمد امير سليمان"/>
        <s v="تفات معاذ"/>
        <s v="الحنافي بلقاسم"/>
        <s v="جفال عمر"/>
        <s v="جفال يونس"/>
        <s v="بغداد يونس"/>
        <s v="خبيطي محمد"/>
        <s v="بن عياش طه محمد صالح"/>
        <s v="بن عياش فراس عبد الجليل"/>
        <s v="شابي محمد زاكي"/>
        <s v="خشان ايمن"/>
        <s v="موزاوي هاني"/>
        <s v="بودوح خالد سليمان"/>
        <s v="روابح إسماعيل"/>
        <s v="حيدر اياد"/>
        <s v="حيدر سيف الدين"/>
        <s v="تفات عبد الباسط"/>
        <s v="تفات اشرف"/>
        <s v="برزيقة ادم"/>
        <s v="رحيش عبد الجليل"/>
        <s v="لراشي لياس"/>
        <s v="زاهوي اياد ريان"/>
        <s v="بلحربي محمد ادم"/>
        <s v="فرج الله محمد مهدي"/>
        <s v="لعداوري عمار"/>
        <s v="خليفي ادريس"/>
        <s v="طارق محمد مهدي"/>
        <s v="لوكاري خاليل"/>
        <s v="حلوفي اكرم جهاد"/>
        <s v="دومي جواد معتصم"/>
        <s v="بوحميدي صفوان جواد"/>
        <s v="عزيب موسى يوسف"/>
        <s v="طحطاح اياد هيثم"/>
        <s v="طحطاح يحي وائل"/>
        <s v="فاطمي سفيان"/>
        <s v="عروري عبد الله"/>
        <s v="غناي اويس"/>
        <s v="بكيري محمد"/>
        <s v="فيساح محمد عبد الوكيل"/>
        <s v="بن النوي أمجد براء الدين"/>
        <s v="حيدر ايمن نوح"/>
        <s v="خربان سيف الدين "/>
        <s v="خربان  عبد الشفيع أسامة"/>
        <s v="بن غانم عبد الحفيظ"/>
        <s v="فركيوي محمد ريان"/>
        <s v="تموم نوفل عصام"/>
        <s v="علوي عبد المالك"/>
        <s v="كودري ايمن"/>
        <s v="بن سحنون نسيم"/>
        <s v="سحالي لؤي"/>
        <s v="بلعيفة محمد  زكرياء"/>
        <s v="نويوة محمد"/>
        <s v="بوعنان وسيم "/>
        <s v="بوعنان وائل الياس"/>
        <s v="بن منصور اياد "/>
        <s v="بن منصور مهدي يونس"/>
        <s v="بن معيزة عبد الجليل "/>
        <s v="زيان مهدي" u="1"/>
        <s v="بارة عبد الله" u="1"/>
        <s v="بودربة علي" u="1"/>
        <s v="علوي صالح" u="1"/>
        <s v="علوي عبد الرحمان" u="1"/>
        <s v="بودوح سليمان" u="1"/>
        <s v="لوكاري خالد" u="1"/>
        <s v="خلوفي اكرم جهاد" u="1"/>
        <s v="دومي جواد" u="1"/>
        <s v="بوحميدي جواد" u="1"/>
        <s v="عزيب يوسف" u="1"/>
        <s v="فاطمي صفيان" u="1"/>
        <s v="بن النوي امجد براء الدين" u="1"/>
        <s v="حيدر ايمن" u="1"/>
        <s v="فركيوي محمد" u="1"/>
        <s v="بوعنان وائل " u="1"/>
        <s v="بن منصور مهدي" u="1"/>
        <s v="NASSIM" u="1"/>
        <s v="HADI" u="1"/>
        <s v="تموم نوفل" u="1"/>
        <s v="ALI" u="1"/>
        <s v="Karim " u="1"/>
        <s v="طحطاح اياد" u="1"/>
        <s v="علوي مالك" u="1"/>
        <s v="AMINE" u="1"/>
        <s v="MAHDI" u="1"/>
        <s v="aloui abderahmane" u="1"/>
        <s v="abdelkrim " u="1"/>
        <s v="asma " u="1"/>
        <s v="hadjer " u="1"/>
        <s v="بن عيفة محمد " u="1"/>
        <s v="mounir" u="1"/>
        <s v="amine " u="1"/>
        <s v="mohamed " u="1"/>
      </sharedItems>
    </cacheField>
    <cacheField name="تاريخ الميلاد" numFmtId="14">
      <sharedItems containsNonDate="0" containsDate="1" containsString="0" containsBlank="1" minDate="2011-01-01T00:00:00" maxDate="2021-01-29T00:00:00" count="130">
        <d v="2014-07-03T00:00:00"/>
        <d v="2015-07-03T00:00:00"/>
        <d v="2018-01-28T00:00:00"/>
        <d v="2014-07-16T00:00:00"/>
        <d v="2014-08-10T00:00:00"/>
        <d v="2011-09-14T00:00:00"/>
        <m/>
        <d v="2018-07-01T00:00:00"/>
        <d v="2014-01-01T00:00:00"/>
        <d v="2021-01-01T00:00:00"/>
        <d v="2015-09-09T00:00:00"/>
        <d v="2011-09-03T00:00:00"/>
        <d v="2011-03-19T00:00:00"/>
        <d v="2021-01-28T00:00:00"/>
        <d v="2016-08-09T00:00:00"/>
        <d v="2014-06-18T00:00:00"/>
        <d v="2015-11-08T00:00:00"/>
        <d v="2014-04-17T00:00:00"/>
        <d v="2015-01-07T00:00:00"/>
        <d v="2016-03-01T00:00:00"/>
        <d v="2014-03-24T00:00:00"/>
        <d v="2017-05-19T00:00:00"/>
        <d v="2013-08-01T00:00:00"/>
        <d v="2016-05-22T00:00:00"/>
        <d v="2018-05-14T00:00:00"/>
        <d v="2016-06-22T00:00:00"/>
        <d v="2015-06-14T00:00:00"/>
        <d v="2012-12-04T00:00:00"/>
        <d v="2013-08-04T00:00:00"/>
        <d v="2016-03-30T00:00:00"/>
        <d v="2016-03-08T00:00:00"/>
        <d v="2013-10-23T00:00:00"/>
        <d v="2013-11-07T00:00:00"/>
        <d v="2017-10-10T00:00:00"/>
        <d v="2013-03-04T00:00:00"/>
        <d v="2019-10-28T00:00:00"/>
        <d v="2018-05-26T00:00:00"/>
        <d v="2015-10-21T00:00:00"/>
        <d v="2016-10-25T00:00:00"/>
        <d v="2015-01-06T00:00:00"/>
        <d v="2016-03-16T00:00:00"/>
        <d v="2015-09-13T00:00:00"/>
        <d v="2013-03-27T00:00:00"/>
        <d v="2017-02-12T00:00:00"/>
        <d v="2018-10-26T00:00:00"/>
        <d v="2017-08-27T00:00:00"/>
        <d v="2013-02-14T00:00:00"/>
        <d v="2013-09-15T00:00:00"/>
        <d v="2014-10-20T00:00:00"/>
        <d v="2013-04-30T00:00:00"/>
        <d v="2019-10-02T00:00:00"/>
        <d v="2017-08-23T00:00:00"/>
        <d v="2014-08-06T00:00:00"/>
        <d v="2013-07-23T00:00:00"/>
        <d v="2014-03-14T00:00:00"/>
        <d v="2014-11-01T00:00:00"/>
        <d v="2015-08-02T00:00:00"/>
        <d v="2017-01-26T00:00:00"/>
        <d v="2017-06-12T00:00:00"/>
        <d v="2017-04-01T00:00:00"/>
        <d v="2014-02-14T00:00:00"/>
        <d v="2014-03-01T00:00:00"/>
        <d v="2014-03-28T00:00:00"/>
        <d v="2013-01-29T00:00:00"/>
        <d v="2012-07-24T00:00:00"/>
        <d v="2020-05-10T00:00:00"/>
        <d v="2019-12-25T00:00:00"/>
        <d v="2016-08-07T00:00:00"/>
        <d v="2017-11-18T00:00:00"/>
        <d v="2016-02-14T00:00:00"/>
        <d v="2019-11-09T00:00:00"/>
        <d v="2014-11-16T00:00:00"/>
        <d v="2019-01-19T00:00:00"/>
        <d v="2015-05-15T00:00:00"/>
        <d v="2016-11-06T00:00:00"/>
        <d v="2020-08-13T00:00:00"/>
        <d v="2016-06-15T00:00:00"/>
        <d v="2013-07-02T00:00:00"/>
        <d v="2017-11-10T00:00:00"/>
        <d v="2014-09-26T00:00:00"/>
        <d v="2014-09-09T00:00:00"/>
        <d v="2019-08-29T00:00:00"/>
        <d v="2018-12-17T00:00:00"/>
        <d v="2014-11-22T00:00:00"/>
        <d v="2016-06-10T00:00:00"/>
        <d v="2015-04-09T00:00:00"/>
        <d v="2013-02-26T00:00:00"/>
        <d v="2017-09-27T00:00:00"/>
        <d v="2014-09-29T00:00:00"/>
        <d v="2018-04-05T00:00:00"/>
        <d v="2015-05-18T00:00:00"/>
        <d v="2018-01-23T00:00:00"/>
        <d v="2011-01-01T00:00:00" u="1"/>
        <d v="2012-01-01T00:00:00" u="1"/>
        <d v="2014-10-01T00:00:00" u="1"/>
        <d v="2014-07-01T00:00:00" u="1"/>
        <d v="2020-01-01T00:00:00" u="1"/>
        <d v="2018-01-01T00:00:00" u="1"/>
        <d v="2017-01-01T00:00:00" u="1"/>
        <d v="2016-01-01T00:00:00" u="1"/>
        <d v="2013-01-01T00:00:00" u="1"/>
        <d v="2020-12-25T00:00:00" u="1"/>
        <d v="2017-10-18T00:00:00" u="1"/>
        <d v="2016-11-09T00:00:00" u="1"/>
        <d v="2015-01-23T00:00:00" u="1"/>
        <d v="2014-02-02T00:00:00" u="1"/>
        <d v="2020-05-12T00:00:00" u="1"/>
        <d v="2017-01-02T00:00:00" u="1"/>
        <d v="2013-05-15T00:00:00" u="1"/>
        <d v="2014-05-15T00:00:00" u="1"/>
        <d v="2015-12-12T00:00:00" u="1"/>
        <d v="2017-12-12T00:00:00" u="1"/>
        <d v="2019-04-01T00:00:00" u="1"/>
        <d v="2015-08-07T00:00:00" u="1"/>
        <d v="2019-08-07T00:00:00" u="1"/>
        <d v="2015-06-02T00:00:00" u="1"/>
        <d v="2020-09-12T00:00:00" u="1"/>
        <d v="2014-08-12T00:00:00" u="1"/>
        <d v="2016-08-12T00:00:00" u="1"/>
        <d v="2015-01-01T00:00:00" u="1"/>
        <d v="2016-08-05T00:00:00" u="1"/>
        <d v="2020-08-12T00:00:00" u="1"/>
        <d v="2017-05-02T00:00:00" u="1"/>
        <d v="2013-09-08T00:00:00" u="1"/>
        <d v="2014-03-02T00:00:00" u="1"/>
        <d v="2018-09-08T00:00:00" u="1"/>
        <d v="2013-05-12T00:00:00" u="1"/>
        <d v="2014-05-12T00:00:00" u="1"/>
        <d v="2019-06-05T00:00:00" u="1"/>
        <d v="2016-05-12T00:00:00" u="1"/>
      </sharedItems>
    </cacheField>
    <cacheField name="مكان الميلاد" numFmtId="0">
      <sharedItems containsBlank="1"/>
    </cacheField>
    <cacheField name="تاريخ التسجيل" numFmtId="14">
      <sharedItems containsNonDate="0" containsDate="1" containsString="0" containsBlank="1" minDate="2025-08-30T00:00:00" maxDate="2026-01-17T00:00:00"/>
    </cacheField>
    <cacheField name="الفئه" numFmtId="0">
      <sharedItems count="7">
        <s v="U13"/>
        <s v="U11"/>
        <s v="U9"/>
        <s v="U14"/>
        <s v=""/>
        <s v="U6"/>
        <s v="U7"/>
      </sharedItems>
    </cacheField>
    <cacheField name="حقوق الاشتراك" numFmtId="164">
      <sharedItems containsString="0" containsBlank="1" containsNumber="1" containsInteger="1" minValue="2000" maxValue="12000"/>
    </cacheField>
    <cacheField name="سبتمبر" numFmtId="164">
      <sharedItems containsNonDate="0" containsString="0" containsBlank="1"/>
    </cacheField>
    <cacheField name="أكتوبر" numFmtId="164">
      <sharedItems containsString="0" containsBlank="1" containsNumber="1" containsInteger="1" minValue="800" maxValue="1000"/>
    </cacheField>
    <cacheField name="نوفمبر" numFmtId="164">
      <sharedItems containsString="0" containsBlank="1" containsNumber="1" containsInteger="1" minValue="600" maxValue="1000"/>
    </cacheField>
    <cacheField name="ديسمبر" numFmtId="164">
      <sharedItems containsString="0" containsBlank="1" containsNumber="1" containsInteger="1" minValue="700" maxValue="1000"/>
    </cacheField>
    <cacheField name="جانفي" numFmtId="164">
      <sharedItems containsString="0" containsBlank="1" containsNumber="1" containsInteger="1" minValue="800" maxValue="1000"/>
    </cacheField>
    <cacheField name="فيفري" numFmtId="164">
      <sharedItems containsString="0" containsBlank="1" containsNumber="1" containsInteger="1" minValue="800" maxValue="1000"/>
    </cacheField>
    <cacheField name="مارس" numFmtId="164">
      <sharedItems containsString="0" containsBlank="1" containsNumber="1" containsInteger="1" minValue="800" maxValue="1000"/>
    </cacheField>
    <cacheField name="افريل" numFmtId="164">
      <sharedItems containsString="0" containsBlank="1" containsNumber="1" containsInteger="1" minValue="1000" maxValue="1000"/>
    </cacheField>
    <cacheField name="ماي " numFmtId="164">
      <sharedItems containsString="0" containsBlank="1" containsNumber="1" containsInteger="1" minValue="1000" maxValue="1000"/>
    </cacheField>
    <cacheField name="جوان" numFmtId="164">
      <sharedItems containsNonDate="0" containsString="0" containsBlank="1"/>
    </cacheField>
    <cacheField name="جويلية" numFmtId="164">
      <sharedItems containsNonDate="0" containsString="0" containsBlank="1"/>
    </cacheField>
    <cacheField name="heure de saisie" numFmtId="0">
      <sharedItems containsNonDate="0" containsDate="1" containsString="0" containsBlank="1" minDate="2025-09-19T15:06:56" maxDate="2026-01-16T19:04:02"/>
    </cacheField>
    <cacheField name="Total" numFmtId="164">
      <sharedItems containsString="0" containsBlank="1" containsNumber="1" containsInteger="1" minValue="0" maxValue="20000"/>
    </cacheField>
    <cacheField name="وضعية الاع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">
  <r>
    <n v="94"/>
    <x v="0"/>
    <x v="0"/>
    <s v="البليدة"/>
    <d v="2026-01-16T00:00:00"/>
    <x v="0"/>
    <m/>
    <m/>
    <m/>
    <m/>
    <m/>
    <m/>
    <m/>
    <m/>
    <m/>
    <m/>
    <m/>
    <m/>
    <d v="2026-01-16T19:04:02"/>
    <m/>
    <m/>
  </r>
  <r>
    <n v="93"/>
    <x v="1"/>
    <x v="1"/>
    <s v="البليدة"/>
    <d v="2026-01-02T00:00:00"/>
    <x v="1"/>
    <n v="4000"/>
    <m/>
    <m/>
    <m/>
    <m/>
    <n v="800"/>
    <m/>
    <m/>
    <m/>
    <m/>
    <m/>
    <m/>
    <d v="2026-01-02T19:17:53"/>
    <n v="4800"/>
    <s v="Active"/>
  </r>
  <r>
    <n v="92"/>
    <x v="2"/>
    <x v="2"/>
    <s v="باب الواد"/>
    <d v="2025-12-27T00:00:00"/>
    <x v="2"/>
    <m/>
    <m/>
    <m/>
    <m/>
    <m/>
    <m/>
    <m/>
    <m/>
    <m/>
    <m/>
    <m/>
    <m/>
    <d v="2025-12-30T18:55:31"/>
    <n v="0"/>
    <s v="Active"/>
  </r>
  <r>
    <n v="91"/>
    <x v="3"/>
    <x v="3"/>
    <s v="الحراش"/>
    <d v="2025-12-20T00:00:00"/>
    <x v="0"/>
    <m/>
    <m/>
    <m/>
    <m/>
    <m/>
    <m/>
    <m/>
    <m/>
    <m/>
    <m/>
    <m/>
    <m/>
    <d v="2025-12-28T12:32:49"/>
    <n v="0"/>
    <s v="Active"/>
  </r>
  <r>
    <n v="90"/>
    <x v="4"/>
    <x v="3"/>
    <s v="الحراش"/>
    <d v="2025-12-26T00:00:00"/>
    <x v="0"/>
    <n v="4000"/>
    <m/>
    <m/>
    <m/>
    <n v="800"/>
    <m/>
    <m/>
    <m/>
    <m/>
    <m/>
    <m/>
    <m/>
    <d v="2025-12-26T20:26:00"/>
    <n v="4800"/>
    <s v="Active"/>
  </r>
  <r>
    <n v="89"/>
    <x v="5"/>
    <x v="4"/>
    <s v="حسين داي"/>
    <d v="2025-12-16T00:00:00"/>
    <x v="0"/>
    <n v="4000"/>
    <m/>
    <m/>
    <m/>
    <n v="1000"/>
    <m/>
    <m/>
    <m/>
    <m/>
    <m/>
    <m/>
    <m/>
    <d v="2025-12-19T19:07:31"/>
    <n v="5000"/>
    <s v="Active"/>
  </r>
  <r>
    <n v="88"/>
    <x v="6"/>
    <x v="5"/>
    <s v="عين طاية"/>
    <d v="2025-12-13T00:00:00"/>
    <x v="3"/>
    <n v="4000"/>
    <m/>
    <m/>
    <n v="800"/>
    <n v="800"/>
    <m/>
    <m/>
    <m/>
    <m/>
    <m/>
    <m/>
    <m/>
    <d v="2025-12-13T21:31:33"/>
    <n v="5600"/>
    <s v="Active"/>
  </r>
  <r>
    <n v="87"/>
    <x v="7"/>
    <x v="6"/>
    <m/>
    <m/>
    <x v="4"/>
    <m/>
    <m/>
    <m/>
    <m/>
    <m/>
    <m/>
    <m/>
    <m/>
    <m/>
    <m/>
    <m/>
    <m/>
    <d v="2025-11-28T21:02:09"/>
    <n v="0"/>
    <s v="Active"/>
  </r>
  <r>
    <n v="86"/>
    <x v="8"/>
    <x v="7"/>
    <s v="بني مسوس"/>
    <d v="2025-11-29T00:00:00"/>
    <x v="2"/>
    <n v="4000"/>
    <m/>
    <m/>
    <m/>
    <n v="1000"/>
    <m/>
    <m/>
    <m/>
    <m/>
    <m/>
    <m/>
    <m/>
    <d v="2025-11-27T19:49:13"/>
    <n v="5000"/>
    <s v="Active"/>
  </r>
  <r>
    <n v="85"/>
    <x v="9"/>
    <x v="8"/>
    <m/>
    <d v="2025-11-22T00:00:00"/>
    <x v="0"/>
    <n v="4000"/>
    <m/>
    <m/>
    <m/>
    <n v="800"/>
    <m/>
    <m/>
    <m/>
    <m/>
    <m/>
    <m/>
    <m/>
    <d v="2025-11-22T22:04:53"/>
    <n v="4800"/>
    <s v="Active"/>
  </r>
  <r>
    <n v="84"/>
    <x v="10"/>
    <x v="9"/>
    <m/>
    <d v="2025-11-15T00:00:00"/>
    <x v="5"/>
    <n v="4000"/>
    <m/>
    <m/>
    <m/>
    <m/>
    <m/>
    <m/>
    <m/>
    <m/>
    <m/>
    <m/>
    <m/>
    <d v="2025-11-14T19:40:02"/>
    <n v="4000"/>
    <s v="Active"/>
  </r>
  <r>
    <n v="83"/>
    <x v="11"/>
    <x v="10"/>
    <s v="سطيف"/>
    <d v="2025-11-15T00:00:00"/>
    <x v="1"/>
    <n v="4000"/>
    <m/>
    <m/>
    <m/>
    <m/>
    <m/>
    <m/>
    <m/>
    <m/>
    <m/>
    <m/>
    <m/>
    <d v="2025-11-14T19:39:40"/>
    <n v="4000"/>
    <s v="Active"/>
  </r>
  <r>
    <n v="82"/>
    <x v="12"/>
    <x v="11"/>
    <s v="حسين داي"/>
    <d v="2025-11-15T00:00:00"/>
    <x v="3"/>
    <n v="4000"/>
    <m/>
    <m/>
    <n v="800"/>
    <n v="800"/>
    <n v="800"/>
    <m/>
    <m/>
    <m/>
    <m/>
    <m/>
    <m/>
    <d v="2025-11-14T19:39:22"/>
    <n v="6400"/>
    <s v="Active"/>
  </r>
  <r>
    <n v="81"/>
    <x v="13"/>
    <x v="12"/>
    <s v="الرويبة"/>
    <d v="2025-11-01T00:00:00"/>
    <x v="3"/>
    <m/>
    <m/>
    <m/>
    <m/>
    <m/>
    <m/>
    <m/>
    <m/>
    <m/>
    <m/>
    <m/>
    <m/>
    <d v="2025-11-14T19:38:31"/>
    <n v="0"/>
    <s v="Active"/>
  </r>
  <r>
    <n v="80"/>
    <x v="14"/>
    <x v="13"/>
    <s v="حسين داي"/>
    <d v="2025-11-01T00:00:00"/>
    <x v="5"/>
    <m/>
    <m/>
    <m/>
    <m/>
    <m/>
    <m/>
    <m/>
    <m/>
    <m/>
    <m/>
    <m/>
    <m/>
    <d v="2025-11-14T19:37:49"/>
    <n v="0"/>
    <s v="Active"/>
  </r>
  <r>
    <n v="79"/>
    <x v="15"/>
    <x v="14"/>
    <s v="الاربعطاش"/>
    <d v="2025-11-01T00:00:00"/>
    <x v="1"/>
    <n v="4000"/>
    <m/>
    <m/>
    <n v="800"/>
    <n v="800"/>
    <m/>
    <m/>
    <m/>
    <m/>
    <m/>
    <m/>
    <m/>
    <d v="2025-11-07T20:11:58"/>
    <n v="5600"/>
    <s v="Active"/>
  </r>
  <r>
    <n v="78"/>
    <x v="16"/>
    <x v="15"/>
    <s v="قالمة"/>
    <d v="2025-11-07T00:00:00"/>
    <x v="0"/>
    <n v="4000"/>
    <m/>
    <m/>
    <n v="800"/>
    <n v="800"/>
    <m/>
    <m/>
    <m/>
    <m/>
    <m/>
    <m/>
    <m/>
    <d v="2025-11-07T20:11:13"/>
    <n v="5600"/>
    <s v="Active"/>
  </r>
  <r>
    <n v="77"/>
    <x v="17"/>
    <x v="16"/>
    <s v="سطيف"/>
    <d v="2025-11-07T00:00:00"/>
    <x v="1"/>
    <n v="4000"/>
    <m/>
    <m/>
    <m/>
    <m/>
    <m/>
    <m/>
    <m/>
    <m/>
    <m/>
    <m/>
    <m/>
    <d v="2025-11-07T20:10:27"/>
    <n v="4000"/>
    <s v="Active"/>
  </r>
  <r>
    <n v="76"/>
    <x v="18"/>
    <x v="17"/>
    <s v="بني مسوس"/>
    <d v="2025-11-04T00:00:00"/>
    <x v="0"/>
    <n v="4000"/>
    <m/>
    <m/>
    <n v="800"/>
    <n v="800"/>
    <n v="800"/>
    <m/>
    <m/>
    <m/>
    <m/>
    <m/>
    <m/>
    <d v="2025-11-04T17:03:43"/>
    <n v="6400"/>
    <s v="Active"/>
  </r>
  <r>
    <n v="75"/>
    <x v="19"/>
    <x v="18"/>
    <s v="بني مسوس"/>
    <d v="2025-10-25T00:00:00"/>
    <x v="1"/>
    <n v="4000"/>
    <m/>
    <m/>
    <n v="800"/>
    <n v="800"/>
    <m/>
    <m/>
    <m/>
    <m/>
    <m/>
    <m/>
    <m/>
    <d v="2025-11-03T17:21:50"/>
    <n v="5600"/>
    <s v="Active"/>
  </r>
  <r>
    <n v="74"/>
    <x v="20"/>
    <x v="19"/>
    <s v="الرويبة"/>
    <d v="2025-10-30T00:00:00"/>
    <x v="1"/>
    <n v="4000"/>
    <m/>
    <m/>
    <n v="1000"/>
    <n v="1000"/>
    <m/>
    <m/>
    <m/>
    <m/>
    <m/>
    <m/>
    <m/>
    <d v="2025-11-03T17:09:43"/>
    <n v="6000"/>
    <s v="Active"/>
  </r>
  <r>
    <n v="73"/>
    <x v="21"/>
    <x v="20"/>
    <s v="الثنية"/>
    <d v="2025-10-31T00:00:00"/>
    <x v="0"/>
    <n v="4000"/>
    <m/>
    <m/>
    <n v="800"/>
    <n v="800"/>
    <n v="800"/>
    <m/>
    <m/>
    <m/>
    <m/>
    <m/>
    <m/>
    <d v="2025-10-31T22:47:48"/>
    <n v="6400"/>
    <s v="Active"/>
  </r>
  <r>
    <n v="72"/>
    <x v="22"/>
    <x v="21"/>
    <s v="برج الكيفان"/>
    <d v="2025-10-24T00:00:00"/>
    <x v="2"/>
    <n v="4000"/>
    <m/>
    <m/>
    <n v="800"/>
    <n v="800"/>
    <m/>
    <m/>
    <m/>
    <m/>
    <m/>
    <m/>
    <m/>
    <d v="2025-10-31T22:46:46"/>
    <n v="5600"/>
    <s v="Active"/>
  </r>
  <r>
    <n v="71"/>
    <x v="23"/>
    <x v="22"/>
    <s v="سيدامحمد"/>
    <d v="2025-10-24T00:00:00"/>
    <x v="0"/>
    <n v="4000"/>
    <m/>
    <n v="1000"/>
    <n v="800"/>
    <n v="1000"/>
    <m/>
    <m/>
    <m/>
    <m/>
    <m/>
    <m/>
    <m/>
    <d v="2025-10-31T22:44:06"/>
    <n v="6800"/>
    <s v="Active"/>
  </r>
  <r>
    <n v="70"/>
    <x v="24"/>
    <x v="23"/>
    <s v="الحراش"/>
    <d v="2025-10-24T00:00:00"/>
    <x v="1"/>
    <n v="4000"/>
    <m/>
    <m/>
    <n v="800"/>
    <m/>
    <m/>
    <m/>
    <m/>
    <m/>
    <m/>
    <m/>
    <m/>
    <d v="2025-10-31T22:43:01"/>
    <n v="4000"/>
    <s v="Active"/>
  </r>
  <r>
    <n v="69"/>
    <x v="25"/>
    <x v="24"/>
    <s v="الحراش"/>
    <d v="2025-10-24T00:00:00"/>
    <x v="2"/>
    <n v="4000"/>
    <m/>
    <m/>
    <n v="800"/>
    <m/>
    <m/>
    <m/>
    <m/>
    <m/>
    <m/>
    <m/>
    <m/>
    <d v="2025-10-31T22:41:37"/>
    <n v="4000"/>
    <s v="Active"/>
  </r>
  <r>
    <n v="68"/>
    <x v="26"/>
    <x v="25"/>
    <s v="الرويبة"/>
    <d v="2025-10-17T00:00:00"/>
    <x v="1"/>
    <n v="4000"/>
    <m/>
    <m/>
    <n v="800"/>
    <n v="800"/>
    <m/>
    <m/>
    <m/>
    <m/>
    <m/>
    <m/>
    <m/>
    <d v="2025-10-31T22:40:45"/>
    <n v="5600"/>
    <s v="Active"/>
  </r>
  <r>
    <n v="67"/>
    <x v="27"/>
    <x v="26"/>
    <s v="سيدامحمد"/>
    <d v="2025-10-16T00:00:00"/>
    <x v="1"/>
    <n v="4000"/>
    <m/>
    <n v="1000"/>
    <n v="800"/>
    <n v="1000"/>
    <m/>
    <m/>
    <m/>
    <m/>
    <m/>
    <m/>
    <m/>
    <d v="2025-10-31T22:39:41"/>
    <n v="6800"/>
    <s v="Active"/>
  </r>
  <r>
    <n v="66"/>
    <x v="28"/>
    <x v="27"/>
    <s v="الرويبة"/>
    <d v="2025-10-19T00:00:00"/>
    <x v="3"/>
    <n v="4000"/>
    <m/>
    <n v="800"/>
    <n v="800"/>
    <n v="800"/>
    <m/>
    <m/>
    <m/>
    <m/>
    <m/>
    <m/>
    <m/>
    <d v="2025-10-31T22:37:31"/>
    <n v="6400"/>
    <s v="Active"/>
  </r>
  <r>
    <n v="65"/>
    <x v="29"/>
    <x v="28"/>
    <s v="القبة"/>
    <d v="2025-10-24T00:00:00"/>
    <x v="0"/>
    <n v="4000"/>
    <m/>
    <m/>
    <n v="800"/>
    <m/>
    <m/>
    <m/>
    <m/>
    <m/>
    <m/>
    <m/>
    <m/>
    <d v="2025-10-24T12:05:40"/>
    <n v="4800"/>
    <s v="Active"/>
  </r>
  <r>
    <n v="64"/>
    <x v="30"/>
    <x v="29"/>
    <s v="حسين داي"/>
    <d v="2025-10-24T00:00:00"/>
    <x v="1"/>
    <n v="4000"/>
    <m/>
    <n v="800"/>
    <n v="800"/>
    <n v="800"/>
    <m/>
    <m/>
    <m/>
    <m/>
    <m/>
    <m/>
    <m/>
    <d v="2025-10-24T11:57:38"/>
    <n v="6400"/>
    <s v="Active"/>
  </r>
  <r>
    <n v="63"/>
    <x v="31"/>
    <x v="30"/>
    <s v="بني مسوس"/>
    <d v="2025-10-16T00:00:00"/>
    <x v="1"/>
    <n v="4000"/>
    <m/>
    <m/>
    <n v="800"/>
    <n v="800"/>
    <m/>
    <m/>
    <m/>
    <m/>
    <m/>
    <m/>
    <m/>
    <d v="2025-10-20T20:58:58"/>
    <n v="5600"/>
    <s v="Active"/>
  </r>
  <r>
    <n v="62"/>
    <x v="32"/>
    <x v="31"/>
    <s v="مفتاح"/>
    <d v="2025-10-11T00:00:00"/>
    <x v="0"/>
    <n v="4000"/>
    <m/>
    <n v="1000"/>
    <n v="1000"/>
    <n v="1000"/>
    <m/>
    <m/>
    <m/>
    <m/>
    <m/>
    <m/>
    <m/>
    <d v="2025-10-20T20:43:00"/>
    <n v="7000"/>
    <s v="Active"/>
  </r>
  <r>
    <n v="61"/>
    <x v="33"/>
    <x v="32"/>
    <s v="الحراش"/>
    <d v="2025-10-11T00:00:00"/>
    <x v="0"/>
    <n v="4000"/>
    <m/>
    <n v="1000"/>
    <n v="1000"/>
    <n v="1000"/>
    <m/>
    <m/>
    <m/>
    <m/>
    <m/>
    <m/>
    <m/>
    <d v="2025-10-20T17:12:55"/>
    <n v="7000"/>
    <s v="Active"/>
  </r>
  <r>
    <n v="60"/>
    <x v="34"/>
    <x v="33"/>
    <s v="الحمامات"/>
    <d v="2025-10-04T00:00:00"/>
    <x v="2"/>
    <n v="4000"/>
    <m/>
    <n v="800"/>
    <n v="800"/>
    <m/>
    <m/>
    <m/>
    <m/>
    <m/>
    <m/>
    <m/>
    <m/>
    <d v="2025-10-17T21:28:08"/>
    <n v="5600"/>
    <s v="Active"/>
  </r>
  <r>
    <n v="59"/>
    <x v="35"/>
    <x v="34"/>
    <s v="سيدي امحمد"/>
    <d v="2025-10-10T00:00:00"/>
    <x v="0"/>
    <n v="4000"/>
    <m/>
    <n v="800"/>
    <n v="800"/>
    <n v="800"/>
    <n v="800"/>
    <m/>
    <m/>
    <m/>
    <m/>
    <m/>
    <m/>
    <d v="2025-10-11T21:28:08"/>
    <n v="7200"/>
    <s v="Active"/>
  </r>
  <r>
    <n v="58"/>
    <x v="36"/>
    <x v="35"/>
    <s v="بئر مراد رايس"/>
    <d v="2025-10-03T00:00:00"/>
    <x v="6"/>
    <n v="4000"/>
    <m/>
    <n v="1000"/>
    <n v="1000"/>
    <n v="1000"/>
    <m/>
    <m/>
    <m/>
    <m/>
    <m/>
    <m/>
    <m/>
    <d v="2025-10-10T21:52:33"/>
    <n v="7000"/>
    <s v="Active"/>
  </r>
  <r>
    <n v="57"/>
    <x v="37"/>
    <x v="36"/>
    <s v="بئر مراد رايس"/>
    <d v="2025-10-03T00:00:00"/>
    <x v="2"/>
    <n v="4000"/>
    <m/>
    <n v="1000"/>
    <n v="1000"/>
    <n v="1000"/>
    <m/>
    <m/>
    <m/>
    <m/>
    <m/>
    <m/>
    <m/>
    <d v="2025-10-10T21:48:33"/>
    <n v="7000"/>
    <s v="Active"/>
  </r>
  <r>
    <n v="56"/>
    <x v="38"/>
    <x v="37"/>
    <s v="حسين داي"/>
    <d v="2025-10-10T00:00:00"/>
    <x v="1"/>
    <n v="4000"/>
    <m/>
    <n v="800"/>
    <n v="800"/>
    <n v="800"/>
    <m/>
    <m/>
    <m/>
    <m/>
    <m/>
    <m/>
    <m/>
    <d v="2025-10-10T21:45:27"/>
    <n v="6400"/>
    <s v="Active"/>
  </r>
  <r>
    <n v="55"/>
    <x v="39"/>
    <x v="38"/>
    <s v="باب الوادي"/>
    <d v="2025-10-04T00:00:00"/>
    <x v="1"/>
    <n v="4000"/>
    <m/>
    <n v="800"/>
    <n v="1000"/>
    <m/>
    <m/>
    <m/>
    <m/>
    <m/>
    <m/>
    <m/>
    <m/>
    <d v="2025-10-10T21:43:37"/>
    <n v="5800"/>
    <s v="Active"/>
  </r>
  <r>
    <n v="54"/>
    <x v="40"/>
    <x v="39"/>
    <s v="سيد امحمد"/>
    <d v="2025-10-03T00:00:00"/>
    <x v="1"/>
    <n v="4000"/>
    <m/>
    <n v="1000"/>
    <m/>
    <m/>
    <m/>
    <m/>
    <m/>
    <m/>
    <m/>
    <m/>
    <m/>
    <d v="2025-10-10T21:40:12"/>
    <n v="5000"/>
    <s v="Active"/>
  </r>
  <r>
    <n v="53"/>
    <x v="41"/>
    <x v="40"/>
    <s v="بني مسوس"/>
    <d v="2025-10-03T00:00:00"/>
    <x v="1"/>
    <n v="4000"/>
    <m/>
    <n v="1000"/>
    <m/>
    <m/>
    <m/>
    <m/>
    <m/>
    <m/>
    <m/>
    <m/>
    <m/>
    <d v="2025-10-10T21:36:43"/>
    <n v="5000"/>
    <s v="Active"/>
  </r>
  <r>
    <n v="52"/>
    <x v="42"/>
    <x v="41"/>
    <s v="الرغاية"/>
    <d v="2025-10-10T00:00:00"/>
    <x v="1"/>
    <n v="4000"/>
    <m/>
    <n v="1000"/>
    <n v="900"/>
    <n v="800"/>
    <m/>
    <m/>
    <m/>
    <m/>
    <m/>
    <m/>
    <m/>
    <d v="2025-10-10T21:32:19"/>
    <n v="6700"/>
    <s v="Active"/>
  </r>
  <r>
    <n v="51"/>
    <x v="43"/>
    <x v="42"/>
    <s v="غرداية"/>
    <d v="2025-10-10T00:00:00"/>
    <x v="0"/>
    <n v="4000"/>
    <m/>
    <n v="1000"/>
    <n v="800"/>
    <n v="700"/>
    <m/>
    <m/>
    <m/>
    <m/>
    <m/>
    <m/>
    <m/>
    <d v="2025-10-10T21:26:40"/>
    <n v="6500"/>
    <s v="Active"/>
  </r>
  <r>
    <n v="50"/>
    <x v="44"/>
    <x v="43"/>
    <s v="القبة"/>
    <d v="2025-10-10T00:00:00"/>
    <x v="2"/>
    <n v="4000"/>
    <m/>
    <n v="1000"/>
    <n v="600"/>
    <n v="1000"/>
    <m/>
    <m/>
    <m/>
    <m/>
    <m/>
    <m/>
    <m/>
    <d v="2025-10-10T21:24:59"/>
    <n v="6600"/>
    <s v="Active"/>
  </r>
  <r>
    <n v="49"/>
    <x v="45"/>
    <x v="44"/>
    <s v="القبة"/>
    <d v="2025-10-10T00:00:00"/>
    <x v="2"/>
    <n v="4000"/>
    <m/>
    <n v="1000"/>
    <n v="600"/>
    <n v="1000"/>
    <m/>
    <m/>
    <m/>
    <m/>
    <m/>
    <m/>
    <m/>
    <d v="2025-10-10T21:15:01"/>
    <n v="6600"/>
    <s v="Active"/>
  </r>
  <r>
    <n v="48"/>
    <x v="46"/>
    <x v="45"/>
    <s v="باب الواد"/>
    <d v="2025-10-10T00:00:00"/>
    <x v="2"/>
    <n v="4000"/>
    <m/>
    <n v="800"/>
    <n v="800"/>
    <n v="800"/>
    <n v="800"/>
    <m/>
    <m/>
    <m/>
    <m/>
    <m/>
    <m/>
    <d v="2025-10-10T21:11:45"/>
    <n v="7200"/>
    <s v="Active"/>
  </r>
  <r>
    <n v="47"/>
    <x v="47"/>
    <x v="46"/>
    <s v="الحراش"/>
    <d v="2025-10-03T00:00:00"/>
    <x v="0"/>
    <n v="4000"/>
    <m/>
    <n v="1000"/>
    <n v="800"/>
    <n v="800"/>
    <n v="800"/>
    <m/>
    <m/>
    <m/>
    <m/>
    <m/>
    <m/>
    <d v="2025-10-05T21:06:42"/>
    <n v="7400"/>
    <s v="Active"/>
  </r>
  <r>
    <n v="46"/>
    <x v="48"/>
    <x v="47"/>
    <s v="الحراش"/>
    <d v="2025-10-03T00:00:00"/>
    <x v="0"/>
    <n v="4000"/>
    <m/>
    <n v="800"/>
    <n v="800"/>
    <n v="800"/>
    <m/>
    <m/>
    <m/>
    <m/>
    <m/>
    <m/>
    <m/>
    <d v="2025-10-05T21:04:40"/>
    <n v="6400"/>
    <s v="Active"/>
  </r>
  <r>
    <n v="45"/>
    <x v="49"/>
    <x v="48"/>
    <s v="حسين داي"/>
    <d v="2025-10-03T00:00:00"/>
    <x v="0"/>
    <n v="4000"/>
    <m/>
    <m/>
    <n v="800"/>
    <n v="800"/>
    <m/>
    <m/>
    <m/>
    <m/>
    <m/>
    <m/>
    <m/>
    <d v="2025-10-05T21:03:39"/>
    <n v="5600"/>
    <s v="Active"/>
  </r>
  <r>
    <n v="44"/>
    <x v="50"/>
    <x v="49"/>
    <s v="الرويبة"/>
    <d v="2025-10-03T00:00:00"/>
    <x v="0"/>
    <n v="4000"/>
    <m/>
    <n v="800"/>
    <n v="800"/>
    <n v="800"/>
    <m/>
    <m/>
    <m/>
    <m/>
    <m/>
    <m/>
    <m/>
    <d v="2025-10-05T21:01:52"/>
    <n v="6400"/>
    <s v="Active"/>
  </r>
  <r>
    <n v="43"/>
    <x v="51"/>
    <x v="50"/>
    <s v="الحراش"/>
    <d v="2025-10-03T00:00:00"/>
    <x v="6"/>
    <n v="4000"/>
    <m/>
    <n v="800"/>
    <m/>
    <m/>
    <m/>
    <m/>
    <m/>
    <m/>
    <m/>
    <m/>
    <m/>
    <d v="2025-10-05T21:00:15"/>
    <n v="4800"/>
    <s v="Active"/>
  </r>
  <r>
    <n v="42"/>
    <x v="52"/>
    <x v="51"/>
    <s v="الحراش"/>
    <d v="2025-10-03T00:00:00"/>
    <x v="2"/>
    <n v="4000"/>
    <m/>
    <n v="800"/>
    <m/>
    <m/>
    <m/>
    <m/>
    <m/>
    <m/>
    <m/>
    <m/>
    <m/>
    <d v="2025-10-05T20:58:03"/>
    <n v="4800"/>
    <s v="Active"/>
  </r>
  <r>
    <n v="41"/>
    <x v="53"/>
    <x v="52"/>
    <s v="الحمامات"/>
    <d v="2025-10-03T00:00:00"/>
    <x v="0"/>
    <n v="4000"/>
    <m/>
    <n v="800"/>
    <n v="800"/>
    <n v="800"/>
    <m/>
    <m/>
    <m/>
    <m/>
    <m/>
    <m/>
    <m/>
    <d v="2025-10-05T20:56:56"/>
    <n v="6400"/>
    <s v="Active"/>
  </r>
  <r>
    <n v="40"/>
    <x v="54"/>
    <x v="53"/>
    <s v="عين طاية"/>
    <d v="2025-10-03T00:00:00"/>
    <x v="0"/>
    <n v="4000"/>
    <m/>
    <n v="800"/>
    <n v="800"/>
    <n v="800"/>
    <m/>
    <m/>
    <m/>
    <m/>
    <m/>
    <m/>
    <m/>
    <d v="2025-10-05T20:55:33"/>
    <n v="6400"/>
    <s v="Active"/>
  </r>
  <r>
    <n v="39"/>
    <x v="55"/>
    <x v="54"/>
    <s v="القبة"/>
    <d v="2025-10-03T00:00:00"/>
    <x v="0"/>
    <n v="4000"/>
    <m/>
    <n v="800"/>
    <n v="800"/>
    <n v="800"/>
    <m/>
    <m/>
    <m/>
    <m/>
    <m/>
    <m/>
    <m/>
    <d v="2025-10-05T20:54:27"/>
    <n v="6400"/>
    <s v="Active"/>
  </r>
  <r>
    <n v="38"/>
    <x v="56"/>
    <x v="55"/>
    <s v="القبة"/>
    <d v="2025-10-03T00:00:00"/>
    <x v="0"/>
    <n v="4000"/>
    <m/>
    <n v="800"/>
    <n v="1000"/>
    <n v="800"/>
    <m/>
    <m/>
    <m/>
    <m/>
    <m/>
    <m/>
    <m/>
    <d v="2025-10-05T20:53:15"/>
    <n v="6600"/>
    <s v="Active"/>
  </r>
  <r>
    <n v="37"/>
    <x v="57"/>
    <x v="56"/>
    <s v="الرويبة"/>
    <d v="2025-10-03T00:00:00"/>
    <x v="1"/>
    <n v="4000"/>
    <m/>
    <n v="800"/>
    <n v="800"/>
    <n v="800"/>
    <m/>
    <m/>
    <m/>
    <m/>
    <m/>
    <m/>
    <m/>
    <d v="2025-10-05T20:52:07"/>
    <n v="6400"/>
    <s v="Active"/>
  </r>
  <r>
    <n v="36"/>
    <x v="58"/>
    <x v="57"/>
    <s v="عين طاية"/>
    <d v="2025-10-03T00:00:00"/>
    <x v="2"/>
    <n v="4000"/>
    <m/>
    <n v="800"/>
    <n v="1000"/>
    <n v="1000"/>
    <m/>
    <m/>
    <m/>
    <m/>
    <m/>
    <m/>
    <m/>
    <d v="2025-10-05T20:50:33"/>
    <n v="6800"/>
    <s v="Active"/>
  </r>
  <r>
    <n v="35"/>
    <x v="59"/>
    <x v="58"/>
    <s v="بئر مراد رايس"/>
    <d v="2025-09-19T00:00:00"/>
    <x v="2"/>
    <n v="4000"/>
    <m/>
    <n v="1000"/>
    <n v="1000"/>
    <m/>
    <m/>
    <m/>
    <m/>
    <m/>
    <m/>
    <m/>
    <m/>
    <d v="2025-10-05T20:48:51"/>
    <n v="6000"/>
    <s v="Active"/>
  </r>
  <r>
    <n v="34"/>
    <x v="60"/>
    <x v="59"/>
    <s v="الرويبة"/>
    <d v="2025-09-19T00:00:00"/>
    <x v="2"/>
    <n v="4000"/>
    <m/>
    <n v="800"/>
    <n v="800"/>
    <n v="800"/>
    <n v="800"/>
    <n v="800"/>
    <m/>
    <m/>
    <m/>
    <m/>
    <m/>
    <d v="2025-10-05T20:46:38"/>
    <n v="8000"/>
    <s v="Active"/>
  </r>
  <r>
    <n v="33"/>
    <x v="61"/>
    <x v="60"/>
    <s v="خميس الخشنة"/>
    <d v="2025-09-26T00:00:00"/>
    <x v="0"/>
    <n v="4000"/>
    <m/>
    <n v="800"/>
    <n v="800"/>
    <n v="800"/>
    <m/>
    <m/>
    <m/>
    <m/>
    <m/>
    <m/>
    <m/>
    <d v="2025-09-26T19:58:44"/>
    <n v="6400"/>
    <s v="Active"/>
  </r>
  <r>
    <n v="32"/>
    <x v="62"/>
    <x v="61"/>
    <s v="الرويبة"/>
    <d v="2025-09-19T00:00:00"/>
    <x v="0"/>
    <n v="4000"/>
    <m/>
    <m/>
    <m/>
    <m/>
    <m/>
    <m/>
    <m/>
    <m/>
    <m/>
    <m/>
    <m/>
    <d v="2025-09-24T12:55:01"/>
    <n v="4000"/>
    <s v="Active"/>
  </r>
  <r>
    <n v="31"/>
    <x v="63"/>
    <x v="62"/>
    <s v="الرويبة"/>
    <d v="2025-09-19T00:00:00"/>
    <x v="0"/>
    <n v="2000"/>
    <m/>
    <m/>
    <m/>
    <m/>
    <m/>
    <m/>
    <m/>
    <m/>
    <m/>
    <m/>
    <m/>
    <d v="2025-09-24T12:52:47"/>
    <n v="2000"/>
    <s v="Active"/>
  </r>
  <r>
    <n v="30"/>
    <x v="64"/>
    <x v="63"/>
    <s v="الرويبة"/>
    <d v="2025-09-19T00:00:00"/>
    <x v="0"/>
    <n v="4000"/>
    <m/>
    <n v="800"/>
    <m/>
    <m/>
    <m/>
    <m/>
    <m/>
    <m/>
    <m/>
    <m/>
    <m/>
    <d v="2025-09-24T12:51:27"/>
    <n v="4800"/>
    <s v="Active"/>
  </r>
  <r>
    <n v="29"/>
    <x v="65"/>
    <x v="64"/>
    <s v="الرويبة"/>
    <d v="2025-09-19T00:00:00"/>
    <x v="3"/>
    <n v="4000"/>
    <m/>
    <n v="800"/>
    <n v="900"/>
    <m/>
    <m/>
    <m/>
    <m/>
    <m/>
    <m/>
    <m/>
    <m/>
    <d v="2025-09-24T12:43:01"/>
    <n v="5700"/>
    <s v="Active"/>
  </r>
  <r>
    <n v="28"/>
    <x v="66"/>
    <x v="65"/>
    <s v="عين طاية"/>
    <d v="2025-09-19T00:00:00"/>
    <x v="6"/>
    <n v="4000"/>
    <m/>
    <n v="1000"/>
    <n v="1000"/>
    <n v="1000"/>
    <n v="1000"/>
    <m/>
    <m/>
    <m/>
    <m/>
    <m/>
    <m/>
    <d v="2025-09-24T12:39:00"/>
    <n v="8000"/>
    <s v="Active"/>
  </r>
  <r>
    <n v="27"/>
    <x v="67"/>
    <x v="66"/>
    <s v="زرالدة"/>
    <d v="2025-09-19T00:00:00"/>
    <x v="6"/>
    <n v="4000"/>
    <m/>
    <n v="1000"/>
    <m/>
    <m/>
    <m/>
    <m/>
    <m/>
    <m/>
    <m/>
    <m/>
    <m/>
    <d v="2025-09-24T12:16:19"/>
    <n v="5000"/>
    <s v="Active"/>
  </r>
  <r>
    <n v="26"/>
    <x v="68"/>
    <x v="67"/>
    <s v="حسين داي"/>
    <d v="2025-09-24T00:00:00"/>
    <x v="1"/>
    <n v="4000"/>
    <m/>
    <n v="800"/>
    <n v="800"/>
    <n v="800"/>
    <m/>
    <m/>
    <m/>
    <m/>
    <m/>
    <m/>
    <m/>
    <d v="2025-09-24T12:11:17"/>
    <n v="6400"/>
    <s v="Active"/>
  </r>
  <r>
    <n v="25"/>
    <x v="69"/>
    <x v="68"/>
    <s v="عين طاية"/>
    <d v="2025-09-19T00:00:00"/>
    <x v="2"/>
    <n v="4000"/>
    <m/>
    <n v="1000"/>
    <n v="1000"/>
    <n v="1000"/>
    <n v="1000"/>
    <n v="1000"/>
    <n v="1000"/>
    <n v="1000"/>
    <n v="1000"/>
    <m/>
    <m/>
    <d v="2025-09-19T23:29:30"/>
    <n v="12000"/>
    <s v="Active"/>
  </r>
  <r>
    <n v="24"/>
    <x v="70"/>
    <x v="69"/>
    <s v="عين طاية"/>
    <d v="2025-09-19T00:00:00"/>
    <x v="1"/>
    <n v="4000"/>
    <m/>
    <n v="1000"/>
    <n v="1000"/>
    <n v="1000"/>
    <n v="1000"/>
    <n v="1000"/>
    <n v="1000"/>
    <n v="1000"/>
    <n v="1000"/>
    <m/>
    <m/>
    <d v="2025-09-19T23:23:21"/>
    <n v="12000"/>
    <s v="Active"/>
  </r>
  <r>
    <n v="23"/>
    <x v="71"/>
    <x v="70"/>
    <s v="سيدي امحمد"/>
    <d v="2025-09-19T00:00:00"/>
    <x v="6"/>
    <n v="4000"/>
    <m/>
    <n v="800"/>
    <n v="800"/>
    <m/>
    <m/>
    <m/>
    <m/>
    <m/>
    <m/>
    <m/>
    <m/>
    <m/>
    <n v="5600"/>
    <s v="Active"/>
  </r>
  <r>
    <n v="22"/>
    <x v="72"/>
    <x v="71"/>
    <s v="سطيف"/>
    <d v="2025-09-19T00:00:00"/>
    <x v="0"/>
    <n v="4000"/>
    <m/>
    <n v="1000"/>
    <n v="800"/>
    <n v="800"/>
    <n v="800"/>
    <m/>
    <m/>
    <m/>
    <m/>
    <m/>
    <m/>
    <m/>
    <n v="7400"/>
    <s v="Active"/>
  </r>
  <r>
    <n v="21"/>
    <x v="73"/>
    <x v="72"/>
    <s v="عين طاية"/>
    <d v="2025-09-19T00:00:00"/>
    <x v="6"/>
    <n v="4000"/>
    <m/>
    <n v="1000"/>
    <n v="800"/>
    <n v="800"/>
    <m/>
    <m/>
    <m/>
    <m/>
    <m/>
    <m/>
    <m/>
    <m/>
    <n v="6600"/>
    <s v="Active"/>
  </r>
  <r>
    <n v="20"/>
    <x v="74"/>
    <x v="73"/>
    <s v="عين طاية "/>
    <d v="2025-09-19T00:00:00"/>
    <x v="1"/>
    <n v="4000"/>
    <m/>
    <n v="1000"/>
    <n v="1000"/>
    <n v="1000"/>
    <n v="1000"/>
    <n v="1000"/>
    <n v="1000"/>
    <n v="1000"/>
    <n v="1000"/>
    <m/>
    <m/>
    <d v="2025-09-19T15:06:56"/>
    <n v="12000"/>
    <s v="Active"/>
  </r>
  <r>
    <n v="19"/>
    <x v="75"/>
    <x v="74"/>
    <s v="القبة"/>
    <d v="2025-09-17T00:00:00"/>
    <x v="1"/>
    <n v="4000"/>
    <m/>
    <n v="800"/>
    <n v="800"/>
    <n v="800"/>
    <m/>
    <m/>
    <m/>
    <m/>
    <m/>
    <m/>
    <m/>
    <m/>
    <n v="6400"/>
    <s v="Active"/>
  </r>
  <r>
    <n v="18"/>
    <x v="76"/>
    <x v="61"/>
    <s v="باتنة"/>
    <d v="2025-09-08T00:00:00"/>
    <x v="0"/>
    <n v="4000"/>
    <m/>
    <n v="800"/>
    <n v="1000"/>
    <n v="1000"/>
    <m/>
    <m/>
    <m/>
    <m/>
    <m/>
    <m/>
    <m/>
    <m/>
    <n v="6800"/>
    <s v="Active"/>
  </r>
  <r>
    <n v="17"/>
    <x v="77"/>
    <x v="75"/>
    <s v="حيدرة"/>
    <d v="2025-09-08T00:00:00"/>
    <x v="6"/>
    <n v="4000"/>
    <m/>
    <n v="1000"/>
    <n v="1000"/>
    <n v="1000"/>
    <m/>
    <m/>
    <m/>
    <m/>
    <m/>
    <m/>
    <m/>
    <m/>
    <n v="7000"/>
    <s v="Active"/>
  </r>
  <r>
    <n v="16"/>
    <x v="78"/>
    <x v="76"/>
    <s v="حسين داي"/>
    <d v="2025-09-07T00:00:00"/>
    <x v="1"/>
    <n v="4000"/>
    <m/>
    <n v="800"/>
    <n v="800"/>
    <m/>
    <m/>
    <m/>
    <m/>
    <m/>
    <m/>
    <m/>
    <m/>
    <m/>
    <n v="5600"/>
    <s v="Active"/>
  </r>
  <r>
    <n v="15"/>
    <x v="79"/>
    <x v="77"/>
    <s v="زرالدة"/>
    <d v="2025-09-07T00:00:00"/>
    <x v="0"/>
    <n v="4000"/>
    <m/>
    <n v="800"/>
    <n v="800"/>
    <n v="800"/>
    <n v="800"/>
    <n v="800"/>
    <n v="800"/>
    <m/>
    <m/>
    <m/>
    <m/>
    <m/>
    <n v="8800"/>
    <s v="Active"/>
  </r>
  <r>
    <n v="14"/>
    <x v="80"/>
    <x v="78"/>
    <s v="عين طاية"/>
    <d v="2025-09-05T00:00:00"/>
    <x v="2"/>
    <n v="4000"/>
    <m/>
    <n v="800"/>
    <n v="800"/>
    <n v="1000"/>
    <m/>
    <m/>
    <m/>
    <m/>
    <m/>
    <m/>
    <m/>
    <m/>
    <n v="6600"/>
    <s v="Active"/>
  </r>
  <r>
    <n v="13"/>
    <x v="81"/>
    <x v="79"/>
    <s v="الابيار"/>
    <d v="2025-09-04T00:00:00"/>
    <x v="0"/>
    <n v="4000"/>
    <m/>
    <n v="1000"/>
    <n v="1000"/>
    <n v="1000"/>
    <m/>
    <m/>
    <m/>
    <m/>
    <m/>
    <m/>
    <m/>
    <m/>
    <n v="7000"/>
    <s v="Active"/>
  </r>
  <r>
    <n v="12"/>
    <x v="82"/>
    <x v="80"/>
    <s v="الرويبة"/>
    <d v="2025-09-03T00:00:00"/>
    <x v="0"/>
    <n v="4000"/>
    <m/>
    <n v="1000"/>
    <n v="1000"/>
    <n v="1000"/>
    <n v="1000"/>
    <n v="1000"/>
    <n v="1000"/>
    <m/>
    <m/>
    <m/>
    <m/>
    <m/>
    <n v="10000"/>
    <s v="Active"/>
  </r>
  <r>
    <n v="11"/>
    <x v="83"/>
    <x v="81"/>
    <s v="حسين داي"/>
    <d v="2025-09-01T00:00:00"/>
    <x v="6"/>
    <n v="4000"/>
    <m/>
    <m/>
    <m/>
    <m/>
    <m/>
    <m/>
    <m/>
    <m/>
    <m/>
    <m/>
    <m/>
    <m/>
    <n v="4000"/>
    <s v="Active"/>
  </r>
  <r>
    <n v="10"/>
    <x v="84"/>
    <x v="82"/>
    <s v="الحراش"/>
    <d v="2025-09-01T00:00:00"/>
    <x v="2"/>
    <n v="4000"/>
    <m/>
    <n v="1000"/>
    <n v="1000"/>
    <n v="1000"/>
    <n v="1000"/>
    <m/>
    <m/>
    <m/>
    <m/>
    <m/>
    <m/>
    <m/>
    <n v="8000"/>
    <s v="Active"/>
  </r>
  <r>
    <n v="9"/>
    <x v="85"/>
    <x v="83"/>
    <s v="حسين داي"/>
    <d v="2025-08-30T00:00:00"/>
    <x v="0"/>
    <n v="4000"/>
    <m/>
    <n v="1000"/>
    <n v="1000"/>
    <n v="1000"/>
    <n v="1000"/>
    <n v="1000"/>
    <n v="1000"/>
    <m/>
    <m/>
    <m/>
    <m/>
    <m/>
    <n v="10000"/>
    <s v="Active"/>
  </r>
  <r>
    <n v="8"/>
    <x v="86"/>
    <x v="84"/>
    <s v="الرويبة"/>
    <d v="2025-08-30T00:00:00"/>
    <x v="1"/>
    <n v="4000"/>
    <m/>
    <n v="1000"/>
    <n v="800"/>
    <n v="800"/>
    <m/>
    <m/>
    <m/>
    <m/>
    <m/>
    <m/>
    <m/>
    <m/>
    <n v="6600"/>
    <s v="Active"/>
  </r>
  <r>
    <n v="7"/>
    <x v="87"/>
    <x v="85"/>
    <s v="الرويبة"/>
    <d v="2025-08-30T00:00:00"/>
    <x v="1"/>
    <n v="4000"/>
    <m/>
    <n v="800"/>
    <n v="800"/>
    <m/>
    <m/>
    <m/>
    <m/>
    <m/>
    <m/>
    <m/>
    <m/>
    <m/>
    <n v="5600"/>
    <s v="Active"/>
  </r>
  <r>
    <n v="6"/>
    <x v="88"/>
    <x v="86"/>
    <s v="عين طاية"/>
    <d v="2025-08-30T00:00:00"/>
    <x v="0"/>
    <n v="4000"/>
    <m/>
    <n v="800"/>
    <n v="800"/>
    <n v="800"/>
    <m/>
    <m/>
    <m/>
    <m/>
    <m/>
    <m/>
    <m/>
    <m/>
    <n v="6400"/>
    <s v="Active"/>
  </r>
  <r>
    <n v="5"/>
    <x v="89"/>
    <x v="87"/>
    <s v="بئر مراد رايس"/>
    <d v="2025-08-30T00:00:00"/>
    <x v="2"/>
    <n v="5500"/>
    <m/>
    <n v="1000"/>
    <n v="1000"/>
    <n v="1000"/>
    <m/>
    <m/>
    <m/>
    <m/>
    <m/>
    <m/>
    <m/>
    <m/>
    <n v="8500"/>
    <s v="Active"/>
  </r>
  <r>
    <n v="4"/>
    <x v="90"/>
    <x v="88"/>
    <s v="بئر مراد رايس"/>
    <d v="2025-08-30T00:00:00"/>
    <x v="0"/>
    <n v="5500"/>
    <m/>
    <n v="1000"/>
    <n v="1000"/>
    <n v="1000"/>
    <m/>
    <m/>
    <m/>
    <m/>
    <m/>
    <m/>
    <m/>
    <m/>
    <n v="8500"/>
    <s v="Active"/>
  </r>
  <r>
    <n v="3"/>
    <x v="91"/>
    <x v="89"/>
    <s v="الحراش"/>
    <d v="2025-08-30T00:00:00"/>
    <x v="2"/>
    <n v="4000"/>
    <m/>
    <n v="1000"/>
    <n v="800"/>
    <n v="800"/>
    <m/>
    <m/>
    <m/>
    <m/>
    <m/>
    <m/>
    <m/>
    <m/>
    <n v="6600"/>
    <s v="Active"/>
  </r>
  <r>
    <n v="2"/>
    <x v="92"/>
    <x v="90"/>
    <s v="عين طاية"/>
    <d v="2025-08-30T00:00:00"/>
    <x v="1"/>
    <n v="4000"/>
    <m/>
    <n v="1000"/>
    <n v="800"/>
    <n v="800"/>
    <m/>
    <m/>
    <m/>
    <m/>
    <m/>
    <m/>
    <m/>
    <m/>
    <n v="6600"/>
    <s v="Active"/>
  </r>
  <r>
    <n v="1"/>
    <x v="93"/>
    <x v="91"/>
    <s v="القبة"/>
    <d v="2025-08-30T00:00:00"/>
    <x v="2"/>
    <n v="12000"/>
    <m/>
    <n v="1000"/>
    <n v="1000"/>
    <n v="1000"/>
    <n v="1000"/>
    <n v="1000"/>
    <n v="1000"/>
    <n v="1000"/>
    <n v="1000"/>
    <m/>
    <m/>
    <m/>
    <n v="20000"/>
    <s v="Activ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U13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A3:D38" firstHeaderRow="1" firstDataRow="1" firstDataCol="3"/>
  <pivotFields count="2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8">
        <item m="1" x="121"/>
        <item m="1" x="114"/>
        <item m="1" x="120"/>
        <item m="1" x="126"/>
        <item m="1" x="122"/>
        <item m="1" x="123"/>
        <item m="1" x="115"/>
        <item m="1" x="127"/>
        <item m="1" x="125"/>
        <item m="1" x="119"/>
        <item x="7"/>
        <item x="93"/>
        <item m="1" x="110"/>
        <item x="91"/>
        <item m="1" x="109"/>
        <item x="89"/>
        <item x="88"/>
        <item m="1" x="124"/>
        <item x="86"/>
        <item x="85"/>
        <item m="1" x="116"/>
        <item m="1" x="117"/>
        <item x="80"/>
        <item m="1" x="108"/>
        <item m="1" x="113"/>
        <item x="84"/>
        <item m="1" x="118"/>
        <item m="1" x="112"/>
        <item m="1" x="111"/>
        <item m="1" x="96"/>
        <item m="1" x="97"/>
        <item m="1" x="98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m="1" x="9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m="1" x="100"/>
        <item m="1" x="101"/>
        <item m="1" x="102"/>
        <item m="1" x="103"/>
        <item m="1" x="104"/>
        <item x="69"/>
        <item x="70"/>
        <item m="1" x="105"/>
        <item x="72"/>
        <item x="73"/>
        <item x="74"/>
        <item x="75"/>
        <item m="1" x="106"/>
        <item m="1" x="107"/>
        <item x="78"/>
        <item x="79"/>
        <item x="82"/>
        <item x="83"/>
        <item x="87"/>
        <item m="1" x="9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9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49"/>
        <item x="64"/>
        <item x="65"/>
        <item x="66"/>
        <item x="67"/>
        <item x="68"/>
        <item x="71"/>
        <item x="76"/>
        <item x="77"/>
        <item x="81"/>
        <item x="90"/>
        <item x="92"/>
        <item x="0"/>
        <item x="1"/>
        <item x="2"/>
        <item x="3"/>
        <item x="4"/>
        <item x="5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30">
        <item m="1" x="126"/>
        <item m="1" x="109"/>
        <item m="1" x="115"/>
        <item m="1" x="120"/>
        <item m="1" x="111"/>
        <item m="1" x="125"/>
        <item m="1" x="114"/>
        <item m="1" x="106"/>
        <item m="1" x="121"/>
        <item m="1" x="118"/>
        <item m="1" x="104"/>
        <item x="89"/>
        <item m="1" x="119"/>
        <item m="1" x="124"/>
        <item m="1" x="123"/>
        <item m="1" x="113"/>
        <item m="1" x="129"/>
        <item m="1" x="117"/>
        <item m="1" x="122"/>
        <item m="1" x="128"/>
        <item m="1" x="107"/>
        <item m="1" x="105"/>
        <item x="8"/>
        <item m="1" x="112"/>
        <item m="1" x="108"/>
        <item m="1" x="110"/>
        <item m="1" x="116"/>
        <item m="1" x="127"/>
        <item m="1" x="95"/>
        <item m="1" x="96"/>
        <item x="22"/>
        <item m="1" x="97"/>
        <item m="1" x="98"/>
        <item m="1" x="99"/>
        <item x="43"/>
        <item x="44"/>
        <item x="45"/>
        <item m="1" x="100"/>
        <item x="54"/>
        <item x="55"/>
        <item x="56"/>
        <item x="57"/>
        <item x="58"/>
        <item x="60"/>
        <item x="62"/>
        <item x="63"/>
        <item x="64"/>
        <item x="65"/>
        <item m="1" x="101"/>
        <item x="67"/>
        <item m="1" x="102"/>
        <item x="69"/>
        <item x="70"/>
        <item x="71"/>
        <item x="72"/>
        <item x="73"/>
        <item m="1" x="103"/>
        <item x="61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90"/>
        <item x="91"/>
        <item m="1" x="94"/>
        <item m="1" x="92"/>
        <item x="6"/>
        <item x="7"/>
        <item x="9"/>
        <item x="10"/>
        <item x="11"/>
        <item m="1" x="93"/>
        <item x="13"/>
        <item x="14"/>
        <item x="15"/>
        <item x="16"/>
        <item x="17"/>
        <item x="18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6"/>
        <item x="47"/>
        <item x="48"/>
        <item x="49"/>
        <item x="50"/>
        <item x="51"/>
        <item x="52"/>
        <item x="53"/>
        <item x="59"/>
        <item x="66"/>
        <item x="68"/>
        <item x="74"/>
        <item x="0"/>
        <item x="1"/>
        <item x="2"/>
        <item x="3"/>
        <item x="4"/>
        <item x="5"/>
        <item x="12"/>
        <item x="19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h="1" x="1"/>
        <item x="0"/>
        <item h="1" x="6"/>
        <item h="1" x="2"/>
        <item h="1" x="4"/>
        <item h="1" x="3"/>
        <item h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5"/>
    <field x="1"/>
    <field x="2"/>
  </rowFields>
  <rowItems count="35">
    <i>
      <x v="1"/>
      <x v="16"/>
      <x v="69"/>
    </i>
    <i r="1">
      <x v="19"/>
      <x v="66"/>
    </i>
    <i r="1">
      <x v="32"/>
      <x v="101"/>
    </i>
    <i r="1">
      <x v="40"/>
      <x v="108"/>
    </i>
    <i r="1">
      <x v="44"/>
      <x v="109"/>
    </i>
    <i r="1">
      <x v="45"/>
      <x v="110"/>
    </i>
    <i r="1">
      <x v="47"/>
      <x v="112"/>
    </i>
    <i r="1">
      <x v="50"/>
      <x v="115"/>
    </i>
    <i r="1">
      <x v="51"/>
      <x v="116"/>
    </i>
    <i r="1">
      <x v="52"/>
      <x v="38"/>
    </i>
    <i r="1">
      <x v="53"/>
      <x v="39"/>
    </i>
    <i r="1">
      <x v="58"/>
      <x v="43"/>
    </i>
    <i r="1">
      <x v="59"/>
      <x v="57"/>
    </i>
    <i r="1">
      <x v="60"/>
      <x v="44"/>
    </i>
    <i r="1">
      <x v="69"/>
      <x v="53"/>
    </i>
    <i r="1">
      <x v="76"/>
      <x v="60"/>
    </i>
    <i r="1">
      <x v="77"/>
      <x v="63"/>
    </i>
    <i r="1">
      <x v="83"/>
      <x v="22"/>
    </i>
    <i r="1">
      <x v="90"/>
      <x v="84"/>
    </i>
    <i r="1">
      <x v="92"/>
      <x v="86"/>
    </i>
    <i r="1">
      <x v="95"/>
      <x v="88"/>
    </i>
    <i r="1">
      <x v="97"/>
      <x v="30"/>
    </i>
    <i r="1">
      <x v="103"/>
      <x v="95"/>
    </i>
    <i r="1">
      <x v="106"/>
      <x v="98"/>
    </i>
    <i r="1">
      <x v="107"/>
      <x v="99"/>
    </i>
    <i r="1">
      <x v="109"/>
      <x v="111"/>
    </i>
    <i r="1">
      <x v="110"/>
      <x v="45"/>
    </i>
    <i r="1">
      <x v="116"/>
      <x v="57"/>
    </i>
    <i r="1">
      <x v="118"/>
      <x v="62"/>
    </i>
    <i r="1">
      <x v="119"/>
      <x v="71"/>
    </i>
    <i r="1">
      <x v="121"/>
      <x v="121"/>
    </i>
    <i r="1">
      <x v="124"/>
      <x v="124"/>
    </i>
    <i r="1">
      <x v="125"/>
      <x v="124"/>
    </i>
    <i r="1">
      <x v="126"/>
      <x v="125"/>
    </i>
    <i t="grand">
      <x/>
    </i>
  </rowItems>
  <colItems count="1">
    <i/>
  </colItems>
  <dataFields count="1">
    <dataField name="Somme de حقوق الاشتراك" fld="6" baseField="0" baseItem="0"/>
  </dataFields>
  <pivotTableStyleInfo name="PivotStyleDark5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U7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R3:U12" firstHeaderRow="1" firstDataRow="1" firstDataCol="3"/>
  <pivotFields count="2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8">
        <item m="1" x="121"/>
        <item m="1" x="114"/>
        <item m="1" x="120"/>
        <item m="1" x="126"/>
        <item m="1" x="122"/>
        <item m="1" x="123"/>
        <item m="1" x="115"/>
        <item m="1" x="127"/>
        <item m="1" x="125"/>
        <item m="1" x="119"/>
        <item x="7"/>
        <item x="93"/>
        <item m="1" x="110"/>
        <item x="91"/>
        <item m="1" x="109"/>
        <item x="89"/>
        <item x="88"/>
        <item m="1" x="124"/>
        <item x="86"/>
        <item x="85"/>
        <item m="1" x="116"/>
        <item m="1" x="117"/>
        <item x="80"/>
        <item m="1" x="108"/>
        <item m="1" x="113"/>
        <item x="84"/>
        <item m="1" x="118"/>
        <item m="1" x="112"/>
        <item m="1" x="111"/>
        <item m="1" x="96"/>
        <item m="1" x="97"/>
        <item m="1" x="98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m="1" x="9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m="1" x="100"/>
        <item m="1" x="101"/>
        <item m="1" x="102"/>
        <item m="1" x="103"/>
        <item m="1" x="104"/>
        <item x="69"/>
        <item x="70"/>
        <item m="1" x="105"/>
        <item x="72"/>
        <item x="73"/>
        <item x="74"/>
        <item x="75"/>
        <item m="1" x="106"/>
        <item m="1" x="107"/>
        <item x="78"/>
        <item x="79"/>
        <item x="82"/>
        <item x="83"/>
        <item x="87"/>
        <item m="1" x="9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9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49"/>
        <item x="64"/>
        <item x="65"/>
        <item x="66"/>
        <item x="67"/>
        <item x="68"/>
        <item x="71"/>
        <item x="76"/>
        <item x="77"/>
        <item x="81"/>
        <item x="90"/>
        <item x="92"/>
        <item x="0"/>
        <item x="1"/>
        <item x="2"/>
        <item x="3"/>
        <item x="4"/>
        <item x="5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30">
        <item m="1" x="126"/>
        <item m="1" x="109"/>
        <item m="1" x="115"/>
        <item m="1" x="120"/>
        <item m="1" x="111"/>
        <item m="1" x="125"/>
        <item m="1" x="114"/>
        <item m="1" x="106"/>
        <item m="1" x="121"/>
        <item m="1" x="118"/>
        <item m="1" x="104"/>
        <item x="89"/>
        <item m="1" x="119"/>
        <item m="1" x="124"/>
        <item m="1" x="123"/>
        <item m="1" x="113"/>
        <item m="1" x="129"/>
        <item m="1" x="117"/>
        <item m="1" x="122"/>
        <item m="1" x="128"/>
        <item m="1" x="107"/>
        <item m="1" x="105"/>
        <item x="8"/>
        <item m="1" x="112"/>
        <item m="1" x="108"/>
        <item m="1" x="110"/>
        <item m="1" x="116"/>
        <item m="1" x="127"/>
        <item m="1" x="95"/>
        <item m="1" x="96"/>
        <item x="22"/>
        <item m="1" x="97"/>
        <item m="1" x="98"/>
        <item m="1" x="99"/>
        <item x="43"/>
        <item x="44"/>
        <item x="45"/>
        <item m="1" x="100"/>
        <item x="54"/>
        <item x="55"/>
        <item x="56"/>
        <item x="57"/>
        <item x="58"/>
        <item x="60"/>
        <item x="62"/>
        <item x="63"/>
        <item x="64"/>
        <item x="65"/>
        <item m="1" x="101"/>
        <item x="67"/>
        <item m="1" x="102"/>
        <item x="69"/>
        <item x="70"/>
        <item x="71"/>
        <item x="72"/>
        <item x="73"/>
        <item m="1" x="103"/>
        <item x="61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90"/>
        <item x="91"/>
        <item m="1" x="94"/>
        <item m="1" x="92"/>
        <item x="6"/>
        <item x="7"/>
        <item x="9"/>
        <item x="10"/>
        <item x="11"/>
        <item m="1" x="93"/>
        <item x="13"/>
        <item x="14"/>
        <item x="15"/>
        <item x="16"/>
        <item x="17"/>
        <item x="18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6"/>
        <item x="47"/>
        <item x="48"/>
        <item x="49"/>
        <item x="50"/>
        <item x="51"/>
        <item x="52"/>
        <item x="53"/>
        <item x="59"/>
        <item x="66"/>
        <item x="68"/>
        <item x="74"/>
        <item x="0"/>
        <item x="1"/>
        <item x="2"/>
        <item x="3"/>
        <item x="4"/>
        <item x="5"/>
        <item x="12"/>
        <item x="19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h="1" x="1"/>
        <item h="1" x="0"/>
        <item x="6"/>
        <item h="1" x="2"/>
        <item h="1" x="4"/>
        <item h="1" x="3"/>
        <item h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5"/>
    <field x="1"/>
    <field x="2"/>
  </rowFields>
  <rowItems count="9">
    <i>
      <x v="2"/>
      <x v="33"/>
      <x v="102"/>
    </i>
    <i r="1">
      <x v="48"/>
      <x v="113"/>
    </i>
    <i r="1">
      <x v="70"/>
      <x v="54"/>
    </i>
    <i r="1">
      <x v="78"/>
      <x v="64"/>
    </i>
    <i r="1">
      <x v="112"/>
      <x v="47"/>
    </i>
    <i r="1">
      <x v="113"/>
      <x v="118"/>
    </i>
    <i r="1">
      <x v="115"/>
      <x v="52"/>
    </i>
    <i r="1">
      <x v="117"/>
      <x v="58"/>
    </i>
    <i t="grand">
      <x/>
    </i>
  </rowItems>
  <colItems count="1">
    <i/>
  </colItems>
  <dataFields count="1">
    <dataField name="Somme de حقوق الاشتراك" fld="6" baseField="0" baseItem="0"/>
  </dataFields>
  <pivotTableStyleInfo name="PivotStyleDark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U9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L3:O23" firstHeaderRow="1" firstDataRow="1" firstDataCol="3"/>
  <pivotFields count="2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8">
        <item m="1" x="121"/>
        <item m="1" x="114"/>
        <item m="1" x="120"/>
        <item m="1" x="126"/>
        <item m="1" x="122"/>
        <item m="1" x="123"/>
        <item m="1" x="115"/>
        <item m="1" x="127"/>
        <item m="1" x="125"/>
        <item m="1" x="119"/>
        <item x="7"/>
        <item x="93"/>
        <item m="1" x="110"/>
        <item x="91"/>
        <item m="1" x="109"/>
        <item x="89"/>
        <item x="88"/>
        <item m="1" x="124"/>
        <item x="86"/>
        <item x="85"/>
        <item m="1" x="116"/>
        <item m="1" x="117"/>
        <item x="80"/>
        <item m="1" x="108"/>
        <item m="1" x="113"/>
        <item x="84"/>
        <item m="1" x="118"/>
        <item m="1" x="112"/>
        <item m="1" x="111"/>
        <item m="1" x="96"/>
        <item m="1" x="97"/>
        <item m="1" x="98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m="1" x="9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m="1" x="100"/>
        <item m="1" x="101"/>
        <item m="1" x="102"/>
        <item m="1" x="103"/>
        <item m="1" x="104"/>
        <item x="69"/>
        <item x="70"/>
        <item m="1" x="105"/>
        <item x="72"/>
        <item x="73"/>
        <item x="74"/>
        <item x="75"/>
        <item m="1" x="106"/>
        <item m="1" x="107"/>
        <item x="78"/>
        <item x="79"/>
        <item x="82"/>
        <item x="83"/>
        <item x="87"/>
        <item m="1" x="9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9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49"/>
        <item x="64"/>
        <item x="65"/>
        <item x="66"/>
        <item x="67"/>
        <item x="68"/>
        <item x="71"/>
        <item x="76"/>
        <item x="77"/>
        <item x="81"/>
        <item x="90"/>
        <item x="92"/>
        <item x="0"/>
        <item x="1"/>
        <item x="2"/>
        <item x="3"/>
        <item x="4"/>
        <item x="5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30">
        <item m="1" x="126"/>
        <item m="1" x="109"/>
        <item m="1" x="115"/>
        <item m="1" x="120"/>
        <item m="1" x="111"/>
        <item m="1" x="125"/>
        <item m="1" x="114"/>
        <item m="1" x="106"/>
        <item m="1" x="121"/>
        <item m="1" x="118"/>
        <item m="1" x="104"/>
        <item x="89"/>
        <item m="1" x="119"/>
        <item m="1" x="124"/>
        <item m="1" x="123"/>
        <item m="1" x="113"/>
        <item m="1" x="129"/>
        <item m="1" x="117"/>
        <item m="1" x="122"/>
        <item m="1" x="128"/>
        <item m="1" x="107"/>
        <item m="1" x="105"/>
        <item x="8"/>
        <item m="1" x="112"/>
        <item m="1" x="108"/>
        <item m="1" x="110"/>
        <item m="1" x="116"/>
        <item m="1" x="127"/>
        <item m="1" x="95"/>
        <item m="1" x="96"/>
        <item x="22"/>
        <item m="1" x="97"/>
        <item m="1" x="98"/>
        <item m="1" x="99"/>
        <item x="43"/>
        <item x="44"/>
        <item x="45"/>
        <item m="1" x="100"/>
        <item x="54"/>
        <item x="55"/>
        <item x="56"/>
        <item x="57"/>
        <item x="58"/>
        <item x="60"/>
        <item x="62"/>
        <item x="63"/>
        <item x="64"/>
        <item x="65"/>
        <item m="1" x="101"/>
        <item x="67"/>
        <item m="1" x="102"/>
        <item x="69"/>
        <item x="70"/>
        <item x="71"/>
        <item x="72"/>
        <item x="73"/>
        <item m="1" x="103"/>
        <item x="61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90"/>
        <item x="91"/>
        <item m="1" x="94"/>
        <item m="1" x="92"/>
        <item x="6"/>
        <item x="7"/>
        <item x="9"/>
        <item x="10"/>
        <item x="11"/>
        <item m="1" x="93"/>
        <item x="13"/>
        <item x="14"/>
        <item x="15"/>
        <item x="16"/>
        <item x="17"/>
        <item x="18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6"/>
        <item x="47"/>
        <item x="48"/>
        <item x="49"/>
        <item x="50"/>
        <item x="51"/>
        <item x="52"/>
        <item x="53"/>
        <item x="59"/>
        <item x="66"/>
        <item x="68"/>
        <item x="74"/>
        <item x="0"/>
        <item x="1"/>
        <item x="2"/>
        <item x="3"/>
        <item x="4"/>
        <item x="5"/>
        <item x="12"/>
        <item x="19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h="1" x="1"/>
        <item h="1" x="0"/>
        <item h="1" x="6"/>
        <item x="2"/>
        <item h="1" x="4"/>
        <item h="1" x="3"/>
        <item h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5"/>
    <field x="1"/>
    <field x="2"/>
  </rowFields>
  <rowItems count="20">
    <i>
      <x v="3"/>
      <x v="11"/>
      <x v="73"/>
    </i>
    <i r="1">
      <x v="13"/>
      <x v="11"/>
    </i>
    <i r="1">
      <x v="15"/>
      <x v="70"/>
    </i>
    <i r="1">
      <x v="22"/>
      <x v="61"/>
    </i>
    <i r="1">
      <x v="25"/>
      <x v="65"/>
    </i>
    <i r="1">
      <x v="34"/>
      <x v="103"/>
    </i>
    <i r="1">
      <x v="41"/>
      <x v="34"/>
    </i>
    <i r="1">
      <x v="42"/>
      <x v="35"/>
    </i>
    <i r="1">
      <x v="43"/>
      <x v="36"/>
    </i>
    <i r="1">
      <x v="49"/>
      <x v="114"/>
    </i>
    <i r="1">
      <x v="55"/>
      <x v="41"/>
    </i>
    <i r="1">
      <x v="56"/>
      <x v="42"/>
    </i>
    <i r="1">
      <x v="57"/>
      <x v="117"/>
    </i>
    <i r="1">
      <x v="66"/>
      <x v="119"/>
    </i>
    <i r="1">
      <x v="82"/>
      <x v="77"/>
    </i>
    <i r="1">
      <x v="99"/>
      <x v="91"/>
    </i>
    <i r="1">
      <x v="108"/>
      <x v="100"/>
    </i>
    <i r="1">
      <x v="123"/>
      <x v="123"/>
    </i>
    <i r="1">
      <x v="127"/>
      <x v="89"/>
    </i>
    <i t="grand">
      <x/>
    </i>
  </rowItems>
  <colItems count="1">
    <i/>
  </colItems>
  <dataFields count="1">
    <dataField name="Somme de حقوق الاشتراك" fld="6" baseField="0" baseItem="0"/>
  </dataFields>
  <pivotTableStyleInfo name="PivotStyleDark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U1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F3:I29" firstHeaderRow="1" firstDataRow="1" firstDataCol="3"/>
  <pivotFields count="2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8">
        <item m="1" x="121"/>
        <item m="1" x="114"/>
        <item m="1" x="120"/>
        <item m="1" x="126"/>
        <item m="1" x="122"/>
        <item m="1" x="123"/>
        <item m="1" x="115"/>
        <item m="1" x="127"/>
        <item m="1" x="125"/>
        <item m="1" x="119"/>
        <item x="7"/>
        <item x="93"/>
        <item m="1" x="110"/>
        <item x="91"/>
        <item m="1" x="109"/>
        <item x="89"/>
        <item x="88"/>
        <item m="1" x="124"/>
        <item x="86"/>
        <item x="85"/>
        <item m="1" x="116"/>
        <item m="1" x="117"/>
        <item x="80"/>
        <item m="1" x="108"/>
        <item m="1" x="113"/>
        <item x="84"/>
        <item m="1" x="118"/>
        <item m="1" x="112"/>
        <item m="1" x="111"/>
        <item m="1" x="96"/>
        <item m="1" x="97"/>
        <item m="1" x="98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m="1" x="9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m="1" x="100"/>
        <item m="1" x="101"/>
        <item m="1" x="102"/>
        <item m="1" x="103"/>
        <item m="1" x="104"/>
        <item x="69"/>
        <item x="70"/>
        <item m="1" x="105"/>
        <item x="72"/>
        <item x="73"/>
        <item x="74"/>
        <item x="75"/>
        <item m="1" x="106"/>
        <item m="1" x="107"/>
        <item x="78"/>
        <item x="79"/>
        <item x="82"/>
        <item x="83"/>
        <item x="87"/>
        <item m="1" x="9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9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49"/>
        <item x="64"/>
        <item x="65"/>
        <item x="66"/>
        <item x="67"/>
        <item x="68"/>
        <item x="71"/>
        <item x="76"/>
        <item x="77"/>
        <item x="81"/>
        <item x="90"/>
        <item x="92"/>
        <item x="0"/>
        <item x="1"/>
        <item x="2"/>
        <item x="3"/>
        <item x="4"/>
        <item x="5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30">
        <item m="1" x="126"/>
        <item m="1" x="109"/>
        <item m="1" x="115"/>
        <item m="1" x="120"/>
        <item m="1" x="111"/>
        <item m="1" x="125"/>
        <item m="1" x="114"/>
        <item m="1" x="106"/>
        <item m="1" x="121"/>
        <item m="1" x="118"/>
        <item m="1" x="104"/>
        <item x="89"/>
        <item m="1" x="119"/>
        <item m="1" x="124"/>
        <item m="1" x="123"/>
        <item m="1" x="113"/>
        <item m="1" x="129"/>
        <item m="1" x="117"/>
        <item m="1" x="122"/>
        <item m="1" x="128"/>
        <item m="1" x="107"/>
        <item m="1" x="105"/>
        <item x="8"/>
        <item m="1" x="112"/>
        <item m="1" x="108"/>
        <item m="1" x="110"/>
        <item m="1" x="116"/>
        <item m="1" x="127"/>
        <item m="1" x="95"/>
        <item m="1" x="96"/>
        <item x="22"/>
        <item m="1" x="97"/>
        <item m="1" x="98"/>
        <item m="1" x="99"/>
        <item x="43"/>
        <item x="44"/>
        <item x="45"/>
        <item m="1" x="100"/>
        <item x="54"/>
        <item x="55"/>
        <item x="56"/>
        <item x="57"/>
        <item x="58"/>
        <item x="60"/>
        <item x="62"/>
        <item x="63"/>
        <item x="64"/>
        <item x="65"/>
        <item m="1" x="101"/>
        <item x="67"/>
        <item m="1" x="102"/>
        <item x="69"/>
        <item x="70"/>
        <item x="71"/>
        <item x="72"/>
        <item x="73"/>
        <item m="1" x="103"/>
        <item x="61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90"/>
        <item x="91"/>
        <item m="1" x="94"/>
        <item m="1" x="92"/>
        <item x="6"/>
        <item x="7"/>
        <item x="9"/>
        <item x="10"/>
        <item x="11"/>
        <item m="1" x="93"/>
        <item x="13"/>
        <item x="14"/>
        <item x="15"/>
        <item x="16"/>
        <item x="17"/>
        <item x="18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6"/>
        <item x="47"/>
        <item x="48"/>
        <item x="49"/>
        <item x="50"/>
        <item x="51"/>
        <item x="52"/>
        <item x="53"/>
        <item x="59"/>
        <item x="66"/>
        <item x="68"/>
        <item x="74"/>
        <item x="0"/>
        <item x="1"/>
        <item x="2"/>
        <item x="3"/>
        <item x="4"/>
        <item x="5"/>
        <item x="12"/>
        <item x="19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1"/>
        <item h="1" x="0"/>
        <item h="1" x="6"/>
        <item h="1" x="2"/>
        <item h="1" x="4"/>
        <item h="1" x="3"/>
        <item h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5"/>
    <field x="1"/>
    <field x="2"/>
  </rowFields>
  <rowItems count="26">
    <i>
      <x/>
      <x v="18"/>
      <x v="67"/>
    </i>
    <i r="1">
      <x v="35"/>
      <x v="129"/>
    </i>
    <i r="1">
      <x v="36"/>
      <x v="104"/>
    </i>
    <i r="1">
      <x v="37"/>
      <x v="105"/>
    </i>
    <i r="1">
      <x v="38"/>
      <x v="106"/>
    </i>
    <i r="1">
      <x v="39"/>
      <x v="107"/>
    </i>
    <i r="1">
      <x v="54"/>
      <x v="40"/>
    </i>
    <i r="1">
      <x v="67"/>
      <x v="51"/>
    </i>
    <i r="1">
      <x v="71"/>
      <x v="55"/>
    </i>
    <i r="1">
      <x v="72"/>
      <x v="120"/>
    </i>
    <i r="1">
      <x v="75"/>
      <x v="59"/>
    </i>
    <i r="1">
      <x v="79"/>
      <x v="68"/>
    </i>
    <i r="1">
      <x v="85"/>
      <x v="79"/>
    </i>
    <i r="1">
      <x v="89"/>
      <x v="83"/>
    </i>
    <i r="1">
      <x v="91"/>
      <x v="85"/>
    </i>
    <i r="1">
      <x v="93"/>
      <x v="87"/>
    </i>
    <i r="1">
      <x v="94"/>
      <x v="128"/>
    </i>
    <i r="1">
      <x v="98"/>
      <x v="90"/>
    </i>
    <i r="1">
      <x v="100"/>
      <x v="92"/>
    </i>
    <i r="1">
      <x v="101"/>
      <x v="93"/>
    </i>
    <i r="1">
      <x v="104"/>
      <x v="96"/>
    </i>
    <i r="1">
      <x v="105"/>
      <x v="97"/>
    </i>
    <i r="1">
      <x v="114"/>
      <x v="49"/>
    </i>
    <i r="1">
      <x v="120"/>
      <x v="72"/>
    </i>
    <i r="1">
      <x v="122"/>
      <x v="122"/>
    </i>
    <i t="grand">
      <x/>
    </i>
  </rowItems>
  <colItems count="1">
    <i/>
  </colItems>
  <dataFields count="1">
    <dataField name="Somme de حقوق الاشتراك" fld="6" baseField="0" baseItem="0"/>
  </dataFields>
  <pivotTableStyleInfo name="PivotStyleDark3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الفئه" xr10:uid="{00000000-0013-0000-FFFF-FFFF01000000}" sourceName="الفئه">
  <extLst>
    <x:ext xmlns:x15="http://schemas.microsoft.com/office/spreadsheetml/2010/11/main" uri="{2F2917AC-EB37-4324-AD4E-5DD8C200BD13}">
      <x15:tableSlicerCache tableId="1" column="6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الفئه" xr10:uid="{00000000-0014-0000-FFFF-FFFF01000000}" cache="Segment_الفئه" caption="الفئه" columnCount="4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5:U126" totalsRowCount="1" headerRowDxfId="107" dataDxfId="105" totalsRowDxfId="103" headerRowBorderDxfId="106" tableBorderDxfId="104">
  <autoFilter ref="A5:U125" xr:uid="{00000000-0009-0000-0100-000001000000}"/>
  <sortState xmlns:xlrd2="http://schemas.microsoft.com/office/spreadsheetml/2017/richdata2" ref="A6:T112">
    <sortCondition descending="1" ref="A5:A112"/>
  </sortState>
  <tableColumns count="21">
    <tableColumn id="1" xr3:uid="{00000000-0010-0000-0000-000001000000}" name="الرقم" totalsRowLabel="25" dataDxfId="102" totalsRowDxfId="101"/>
    <tableColumn id="2" xr3:uid="{00000000-0010-0000-0000-000002000000}" name="الاسم واللقب" totalsRowFunction="count" dataDxfId="100" totalsRowDxfId="99"/>
    <tableColumn id="3" xr3:uid="{00000000-0010-0000-0000-000003000000}" name="تاريخ الميلاد" totalsRowFunction="count" dataDxfId="98" totalsRowDxfId="97"/>
    <tableColumn id="4" xr3:uid="{00000000-0010-0000-0000-000004000000}" name="مكان الميلاد" totalsRowFunction="count" dataDxfId="96" totalsRowDxfId="95"/>
    <tableColumn id="5" xr3:uid="{00000000-0010-0000-0000-000005000000}" name="تاريخ التسجيل" totalsRowFunction="count" dataDxfId="94" totalsRowDxfId="93"/>
    <tableColumn id="6" xr3:uid="{00000000-0010-0000-0000-000006000000}" name="الفئه" dataDxfId="92" totalsRowDxfId="91">
      <calculatedColumnFormula>+IF(U6="Abandonne","خارج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calculatedColumnFormula>
    </tableColumn>
    <tableColumn id="7" xr3:uid="{00000000-0010-0000-0000-000007000000}" name="حقوق الاشتراك" totalsRowFunction="sum" dataDxfId="90" totalsRowDxfId="89" dataCellStyle="Monétaire"/>
    <tableColumn id="8" xr3:uid="{00000000-0010-0000-0000-000008000000}" name="سبتمبر" totalsRowFunction="sum" dataDxfId="88" totalsRowDxfId="87" dataCellStyle="Monétaire"/>
    <tableColumn id="9" xr3:uid="{00000000-0010-0000-0000-000009000000}" name="أكتوبر" totalsRowFunction="sum" dataDxfId="86" totalsRowDxfId="85" dataCellStyle="Monétaire"/>
    <tableColumn id="10" xr3:uid="{00000000-0010-0000-0000-00000A000000}" name="نوفمبر" totalsRowFunction="sum" dataDxfId="84" totalsRowDxfId="83" dataCellStyle="Monétaire"/>
    <tableColumn id="11" xr3:uid="{00000000-0010-0000-0000-00000B000000}" name="ديسمبر" totalsRowFunction="sum" dataDxfId="82" totalsRowDxfId="81" dataCellStyle="Monétaire"/>
    <tableColumn id="12" xr3:uid="{00000000-0010-0000-0000-00000C000000}" name="جانفي" totalsRowFunction="sum" dataDxfId="80" totalsRowDxfId="79" dataCellStyle="Monétaire"/>
    <tableColumn id="13" xr3:uid="{00000000-0010-0000-0000-00000D000000}" name="فيفري" totalsRowFunction="sum" dataDxfId="78" totalsRowDxfId="77" dataCellStyle="Monétaire"/>
    <tableColumn id="14" xr3:uid="{00000000-0010-0000-0000-00000E000000}" name="مارس" totalsRowFunction="sum" dataDxfId="76" totalsRowDxfId="75" dataCellStyle="Monétaire"/>
    <tableColumn id="15" xr3:uid="{00000000-0010-0000-0000-00000F000000}" name="افريل" totalsRowFunction="sum" dataDxfId="74" totalsRowDxfId="73" dataCellStyle="Monétaire"/>
    <tableColumn id="16" xr3:uid="{00000000-0010-0000-0000-000010000000}" name="ماي " totalsRowFunction="sum" dataDxfId="72" totalsRowDxfId="71" dataCellStyle="Monétaire"/>
    <tableColumn id="17" xr3:uid="{00000000-0010-0000-0000-000011000000}" name="جوان" totalsRowFunction="sum" dataDxfId="70" totalsRowDxfId="69" dataCellStyle="Monétaire"/>
    <tableColumn id="18" xr3:uid="{00000000-0010-0000-0000-000012000000}" name="جويلية" totalsRowFunction="sum" dataDxfId="68" totalsRowDxfId="67" dataCellStyle="Monétaire"/>
    <tableColumn id="20" xr3:uid="{00000000-0010-0000-0000-000014000000}" name="heure de saisie" dataDxfId="66" totalsRowDxfId="65" dataCellStyle="Monétaire"/>
    <tableColumn id="19" xr3:uid="{00000000-0010-0000-0000-000013000000}" name="Total" totalsRowFunction="sum" dataDxfId="64" totalsRowDxfId="63" dataCellStyle="Monétaire">
      <calculatedColumnFormula>SUM(Tableau1[[#This Row],[حقوق الاشتراك]:[جويلية]])</calculatedColumnFormula>
    </tableColumn>
    <tableColumn id="21" xr3:uid="{00000000-0010-0000-0000-000015000000}" name="Active" dataDxfId="62" totalsRowDxfId="6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ntraîneur" displayName="entraîneur" ref="A2:U8" totalsRowCount="1" headerRowDxfId="59" dataDxfId="57" totalsRowDxfId="55" headerRowBorderDxfId="58" tableBorderDxfId="56">
  <autoFilter ref="A2:U7" xr:uid="{00000000-0009-0000-0100-000002000000}"/>
  <sortState xmlns:xlrd2="http://schemas.microsoft.com/office/spreadsheetml/2017/richdata2" ref="A3:T4">
    <sortCondition descending="1" ref="A4:A7"/>
  </sortState>
  <tableColumns count="21">
    <tableColumn id="1" xr3:uid="{00000000-0010-0000-0100-000001000000}" name="الرقم" totalsRowLabel="25" dataDxfId="54" totalsRowDxfId="53"/>
    <tableColumn id="2" xr3:uid="{00000000-0010-0000-0100-000002000000}" name="الاسم واللقب المدرب" totalsRowFunction="count" dataDxfId="52" totalsRowDxfId="51"/>
    <tableColumn id="3" xr3:uid="{00000000-0010-0000-0100-000003000000}" name="تاريخ الميلاد" totalsRowFunction="count" dataDxfId="50" totalsRowDxfId="49"/>
    <tableColumn id="4" xr3:uid="{00000000-0010-0000-0100-000004000000}" name="مكان الميلاد" totalsRowFunction="count" dataDxfId="48" totalsRowDxfId="47"/>
    <tableColumn id="5" xr3:uid="{00000000-0010-0000-0100-000005000000}" name="تاريخ التسجيل" totalsRowFunction="count" dataDxfId="46" totalsRowDxfId="45"/>
    <tableColumn id="6" xr3:uid="{00000000-0010-0000-0100-000006000000}" name="الفئه" dataDxfId="44" totalsRowDxfId="43"/>
    <tableColumn id="7" xr3:uid="{00000000-0010-0000-0100-000007000000}" name="حقوق المدرب" totalsRowFunction="sum" dataDxfId="42" totalsRowDxfId="41" dataCellStyle="Monétaire"/>
    <tableColumn id="8" xr3:uid="{00000000-0010-0000-0100-000008000000}" name="سبتمبر" totalsRowFunction="sum" dataDxfId="40" totalsRowDxfId="39" dataCellStyle="Monétaire"/>
    <tableColumn id="9" xr3:uid="{00000000-0010-0000-0100-000009000000}" name="أكتوبر" totalsRowFunction="sum" dataDxfId="38" totalsRowDxfId="37" dataCellStyle="Monétaire"/>
    <tableColumn id="10" xr3:uid="{00000000-0010-0000-0100-00000A000000}" name="نوفمبر" totalsRowFunction="sum" dataDxfId="36" totalsRowDxfId="35" dataCellStyle="Monétaire"/>
    <tableColumn id="11" xr3:uid="{00000000-0010-0000-0100-00000B000000}" name="ديسمبر" totalsRowFunction="sum" dataDxfId="34" totalsRowDxfId="33" dataCellStyle="Monétaire"/>
    <tableColumn id="12" xr3:uid="{00000000-0010-0000-0100-00000C000000}" name="جانفي" totalsRowFunction="sum" dataDxfId="32" totalsRowDxfId="31" dataCellStyle="Monétaire"/>
    <tableColumn id="13" xr3:uid="{00000000-0010-0000-0100-00000D000000}" name="فيفري" totalsRowFunction="sum" dataDxfId="30" totalsRowDxfId="29" dataCellStyle="Monétaire"/>
    <tableColumn id="14" xr3:uid="{00000000-0010-0000-0100-00000E000000}" name="مارس" totalsRowFunction="sum" dataDxfId="28" totalsRowDxfId="27" dataCellStyle="Monétaire"/>
    <tableColumn id="15" xr3:uid="{00000000-0010-0000-0100-00000F000000}" name="افريل" totalsRowFunction="sum" dataDxfId="26" totalsRowDxfId="25" dataCellStyle="Monétaire"/>
    <tableColumn id="16" xr3:uid="{00000000-0010-0000-0100-000010000000}" name="ماي " totalsRowFunction="sum" dataDxfId="24" totalsRowDxfId="23" dataCellStyle="Monétaire"/>
    <tableColumn id="17" xr3:uid="{00000000-0010-0000-0100-000011000000}" name="جوان" totalsRowFunction="sum" dataDxfId="22" totalsRowDxfId="21" dataCellStyle="Monétaire"/>
    <tableColumn id="18" xr3:uid="{00000000-0010-0000-0100-000012000000}" name="جويلية" totalsRowFunction="sum" dataDxfId="20" totalsRowDxfId="19" dataCellStyle="Monétaire"/>
    <tableColumn id="20" xr3:uid="{00000000-0010-0000-0100-000014000000}" name="heure de saisie" dataDxfId="18" totalsRowDxfId="17" dataCellStyle="Monétaire"/>
    <tableColumn id="19" xr3:uid="{00000000-0010-0000-0100-000013000000}" name="Total" totalsRowFunction="sum" dataDxfId="16" totalsRowDxfId="15" dataCellStyle="Monétaire">
      <calculatedColumnFormula>SUM(entraîneur[[#This Row],[حقوق المدرب]:[جويلية]])</calculatedColumnFormula>
    </tableColumn>
    <tableColumn id="21" xr3:uid="{45D442EE-4F9E-46BC-BEE5-2287550C17C1}" name="Colonne1" totalsRowLabel="0" dataDxfId="14" totalsRowDxf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209C9B-60A9-42A8-949A-06BA55485F47}" name="Tableau5" displayName="Tableau5" ref="F3:J24" totalsRowCount="1" headerRowDxfId="12" dataDxfId="11" totalsRowDxfId="10">
  <autoFilter ref="F3:J23" xr:uid="{B64BFCF5-2365-4B74-8152-4F5D81BB20E9}"/>
  <tableColumns count="5">
    <tableColumn id="1" xr3:uid="{C88F81EA-FAFE-4F9D-A48B-DA7C34F19792}" name="     صاحب الحافلة" totalsRowLabel="Total" dataDxfId="9" totalsRowDxfId="8"/>
    <tableColumn id="2" xr3:uid="{B0281EBC-221C-48A1-8924-03AEDB83D23A}" name="     المبلغ" dataDxfId="7" totalsRowDxfId="6"/>
    <tableColumn id="3" xr3:uid="{38754868-DCAD-4CC1-9AF7-E26C27D1E108}" name="     تاريخ " dataDxfId="5" totalsRowDxfId="4"/>
    <tableColumn id="4" xr3:uid="{4EBB4212-8C6A-4B9E-9ABA-E1C6B6A1354C}" name="     المكان" dataDxfId="3" totalsRowDxfId="2"/>
    <tableColumn id="5" xr3:uid="{42BF88AE-1DF9-4228-849F-8227B23B95A4}" name="      الرقم" totalsRowFunction="count" dataDxfId="1" totalsRowDxfId="0"/>
  </tableColumns>
  <tableStyleInfo name="TableStyleMedium2" showFirstColumn="1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2:C8" totalsRowShown="0">
  <autoFilter ref="A2:C8" xr:uid="{00000000-0009-0000-0100-000003000000}"/>
  <tableColumns count="3">
    <tableColumn id="1" xr3:uid="{00000000-0010-0000-0200-000001000000}" name="الفئة"/>
    <tableColumn id="2" xr3:uid="{00000000-0010-0000-0200-000002000000}" name="ANNE DE NAISSANCE"/>
    <tableColumn id="3" xr3:uid="{00000000-0010-0000-0200-000003000000}" name="ANNE DE NAISSANCE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W24"/>
  <sheetViews>
    <sheetView topLeftCell="A3" zoomScale="115" zoomScaleNormal="115" workbookViewId="0">
      <selection activeCell="B14" sqref="B14"/>
    </sheetView>
  </sheetViews>
  <sheetFormatPr baseColWidth="10" defaultRowHeight="15" x14ac:dyDescent="0.25"/>
  <cols>
    <col min="1" max="2" width="23.28515625" customWidth="1"/>
    <col min="4" max="4" width="13.28515625" bestFit="1" customWidth="1"/>
    <col min="5" max="5" width="14" bestFit="1" customWidth="1"/>
    <col min="6" max="6" width="15.28515625" bestFit="1" customWidth="1"/>
    <col min="7" max="7" width="13.5703125" bestFit="1" customWidth="1"/>
    <col min="8" max="8" width="15.85546875" bestFit="1" customWidth="1"/>
    <col min="9" max="9" width="6" bestFit="1" customWidth="1"/>
    <col min="10" max="10" width="16.85546875" bestFit="1" customWidth="1"/>
    <col min="11" max="11" width="10" bestFit="1" customWidth="1"/>
    <col min="12" max="12" width="5.28515625" bestFit="1" customWidth="1"/>
    <col min="13" max="13" width="5.42578125" bestFit="1" customWidth="1"/>
    <col min="14" max="14" width="5.85546875" bestFit="1" customWidth="1"/>
    <col min="15" max="15" width="5" bestFit="1" customWidth="1"/>
    <col min="16" max="16" width="5.140625" bestFit="1" customWidth="1"/>
    <col min="17" max="17" width="5" bestFit="1" customWidth="1"/>
    <col min="18" max="18" width="4.7109375" bestFit="1" customWidth="1"/>
    <col min="19" max="19" width="4.140625" bestFit="1" customWidth="1"/>
    <col min="20" max="20" width="4.5703125" bestFit="1" customWidth="1"/>
    <col min="21" max="21" width="5.42578125" bestFit="1" customWidth="1"/>
    <col min="22" max="22" width="4" bestFit="1" customWidth="1"/>
    <col min="23" max="23" width="6.85546875" bestFit="1" customWidth="1"/>
  </cols>
  <sheetData>
    <row r="1" spans="1:23" ht="19.5" customHeight="1" thickBot="1" x14ac:dyDescent="0.3"/>
    <row r="2" spans="1:23" ht="22.5" thickTop="1" thickBot="1" x14ac:dyDescent="0.3">
      <c r="D2" s="1" t="s">
        <v>0</v>
      </c>
      <c r="E2" s="3" t="s">
        <v>19</v>
      </c>
    </row>
    <row r="3" spans="1:23" ht="22.5" thickTop="1" thickBot="1" x14ac:dyDescent="0.3">
      <c r="D3" s="2" t="s">
        <v>1</v>
      </c>
      <c r="E3" s="3"/>
    </row>
    <row r="4" spans="1:23" ht="19.5" customHeight="1" thickBot="1" x14ac:dyDescent="0.3"/>
    <row r="5" spans="1:23" ht="22.5" thickTop="1" thickBot="1" x14ac:dyDescent="0.3">
      <c r="A5" s="1" t="s">
        <v>0</v>
      </c>
      <c r="B5" s="111"/>
      <c r="D5" s="22" t="s">
        <v>0</v>
      </c>
      <c r="E5" s="23" t="s">
        <v>1</v>
      </c>
      <c r="F5" s="23" t="s">
        <v>2</v>
      </c>
      <c r="G5" s="23" t="s">
        <v>3</v>
      </c>
      <c r="H5" s="23" t="s">
        <v>4</v>
      </c>
      <c r="I5" s="23" t="s">
        <v>5</v>
      </c>
      <c r="J5" s="24" t="s">
        <v>6</v>
      </c>
      <c r="K5" s="22" t="s">
        <v>7</v>
      </c>
      <c r="L5" s="23" t="s">
        <v>8</v>
      </c>
      <c r="M5" s="23" t="s">
        <v>9</v>
      </c>
      <c r="N5" s="23" t="s">
        <v>10</v>
      </c>
      <c r="O5" s="23" t="s">
        <v>11</v>
      </c>
      <c r="P5" s="23" t="s">
        <v>12</v>
      </c>
      <c r="Q5" s="24" t="s">
        <v>13</v>
      </c>
      <c r="R5" s="22" t="s">
        <v>14</v>
      </c>
      <c r="S5" s="23" t="s">
        <v>15</v>
      </c>
      <c r="T5" s="23" t="s">
        <v>16</v>
      </c>
      <c r="U5" s="23" t="s">
        <v>17</v>
      </c>
      <c r="V5" s="23" t="s">
        <v>75</v>
      </c>
      <c r="W5" s="23" t="s">
        <v>21</v>
      </c>
    </row>
    <row r="6" spans="1:23" ht="24.75" thickBot="1" x14ac:dyDescent="0.3">
      <c r="A6" s="2" t="s">
        <v>1</v>
      </c>
      <c r="D6" s="39">
        <v>4</v>
      </c>
      <c r="E6" s="44" t="s">
        <v>32</v>
      </c>
      <c r="F6" s="41">
        <v>41911</v>
      </c>
      <c r="G6" s="42"/>
      <c r="H6" s="41">
        <v>45899</v>
      </c>
      <c r="I6" s="40" t="str">
        <f>+IF(AND(YEAR(Tableau1[[#This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الميلاد]])&lt;=parametre!$C$6),parametre!$A$6,""))))</f>
        <v/>
      </c>
      <c r="J6" s="43">
        <v>5500</v>
      </c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9"/>
      <c r="W6" s="50"/>
    </row>
    <row r="7" spans="1:23" ht="22.5" thickTop="1" thickBot="1" x14ac:dyDescent="0.3">
      <c r="A7" s="2" t="s">
        <v>2</v>
      </c>
      <c r="B7" s="112"/>
    </row>
    <row r="8" spans="1:23" ht="22.5" thickTop="1" thickBot="1" x14ac:dyDescent="0.3">
      <c r="A8" s="2" t="s">
        <v>3</v>
      </c>
      <c r="B8" s="112"/>
      <c r="D8" s="5"/>
      <c r="E8" s="6"/>
      <c r="G8" s="5"/>
      <c r="H8" s="6"/>
    </row>
    <row r="9" spans="1:23" ht="22.5" thickTop="1" thickBot="1" x14ac:dyDescent="0.3">
      <c r="A9" s="2" t="s">
        <v>4</v>
      </c>
      <c r="B9" s="112"/>
      <c r="D9" s="7"/>
      <c r="E9" s="8"/>
      <c r="G9" s="7"/>
      <c r="H9" s="8"/>
    </row>
    <row r="10" spans="1:23" ht="22.5" thickTop="1" thickBot="1" x14ac:dyDescent="0.3">
      <c r="A10" s="2" t="s">
        <v>5</v>
      </c>
      <c r="B10" s="111"/>
      <c r="D10" s="7"/>
      <c r="E10" s="8"/>
      <c r="G10" s="7"/>
      <c r="H10" s="8"/>
    </row>
    <row r="11" spans="1:23" ht="22.5" thickTop="1" thickBot="1" x14ac:dyDescent="0.3">
      <c r="A11" s="2" t="s">
        <v>6</v>
      </c>
      <c r="B11" s="113"/>
      <c r="D11" s="7"/>
      <c r="E11" s="8"/>
      <c r="G11" s="7"/>
      <c r="H11" s="8"/>
    </row>
    <row r="12" spans="1:23" ht="22.5" thickTop="1" thickBot="1" x14ac:dyDescent="0.3">
      <c r="A12" s="1" t="s">
        <v>7</v>
      </c>
      <c r="B12" s="111"/>
      <c r="D12" s="9"/>
      <c r="E12" s="10"/>
      <c r="G12" s="9"/>
      <c r="H12" s="10"/>
    </row>
    <row r="13" spans="1:23" ht="22.5" thickTop="1" thickBot="1" x14ac:dyDescent="0.3">
      <c r="A13" s="2" t="s">
        <v>8</v>
      </c>
      <c r="B13" s="113"/>
    </row>
    <row r="14" spans="1:23" ht="22.5" thickTop="1" thickBot="1" x14ac:dyDescent="0.3">
      <c r="A14" s="2" t="s">
        <v>9</v>
      </c>
      <c r="B14" s="113"/>
    </row>
    <row r="15" spans="1:23" ht="22.5" thickTop="1" thickBot="1" x14ac:dyDescent="0.3">
      <c r="A15" s="2" t="s">
        <v>10</v>
      </c>
      <c r="B15" s="113"/>
    </row>
    <row r="16" spans="1:23" ht="22.5" thickTop="1" thickBot="1" x14ac:dyDescent="0.3">
      <c r="A16" s="2" t="s">
        <v>11</v>
      </c>
      <c r="B16" s="113"/>
    </row>
    <row r="17" spans="1:2" ht="22.5" thickTop="1" thickBot="1" x14ac:dyDescent="0.3">
      <c r="A17" s="2" t="s">
        <v>12</v>
      </c>
      <c r="B17" s="113"/>
    </row>
    <row r="18" spans="1:2" ht="22.5" thickTop="1" thickBot="1" x14ac:dyDescent="0.3">
      <c r="A18" s="2" t="s">
        <v>13</v>
      </c>
      <c r="B18" s="113"/>
    </row>
    <row r="19" spans="1:2" ht="22.5" thickTop="1" thickBot="1" x14ac:dyDescent="0.3">
      <c r="A19" s="1" t="s">
        <v>14</v>
      </c>
      <c r="B19" s="113"/>
    </row>
    <row r="20" spans="1:2" ht="22.5" thickTop="1" thickBot="1" x14ac:dyDescent="0.3">
      <c r="A20" s="2" t="s">
        <v>15</v>
      </c>
      <c r="B20" s="113"/>
    </row>
    <row r="21" spans="1:2" ht="22.5" thickTop="1" thickBot="1" x14ac:dyDescent="0.3">
      <c r="A21" s="2" t="s">
        <v>16</v>
      </c>
      <c r="B21" s="113"/>
    </row>
    <row r="22" spans="1:2" ht="22.5" thickTop="1" thickBot="1" x14ac:dyDescent="0.3">
      <c r="A22" s="2" t="s">
        <v>17</v>
      </c>
      <c r="B22" s="114"/>
    </row>
    <row r="23" spans="1:2" ht="22.5" thickTop="1" thickBot="1" x14ac:dyDescent="0.3">
      <c r="A23" s="2" t="s">
        <v>18</v>
      </c>
      <c r="B23" s="114"/>
    </row>
    <row r="24" spans="1:2" ht="22.5" thickTop="1" thickBot="1" x14ac:dyDescent="0.3">
      <c r="A24" s="2" t="s">
        <v>7</v>
      </c>
      <c r="B24" s="114"/>
    </row>
  </sheetData>
  <phoneticPr fontId="3" type="noConversion"/>
  <conditionalFormatting sqref="K6:V6 G6">
    <cfRule type="cellIs" dxfId="237" priority="4" operator="equal">
      <formula>0</formula>
    </cfRule>
  </conditionalFormatting>
  <conditionalFormatting sqref="J6">
    <cfRule type="cellIs" dxfId="236" priority="3" operator="equal">
      <formula>0</formula>
    </cfRule>
  </conditionalFormatting>
  <conditionalFormatting sqref="H6">
    <cfRule type="cellIs" dxfId="235" priority="2" operator="equal">
      <formula>0</formula>
    </cfRule>
  </conditionalFormatting>
  <conditionalFormatting sqref="F6">
    <cfRule type="cellIs" dxfId="234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ierInscription">
                <anchor moveWithCells="1" sizeWithCells="1">
                  <from>
                    <xdr:col>0</xdr:col>
                    <xdr:colOff>38100</xdr:colOff>
                    <xdr:row>1</xdr:row>
                    <xdr:rowOff>161925</xdr:rowOff>
                  </from>
                  <to>
                    <xdr:col>1</xdr:col>
                    <xdr:colOff>1504950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chercherJoueur">
                <anchor moveWithCells="1" sizeWithCells="1">
                  <from>
                    <xdr:col>5</xdr:col>
                    <xdr:colOff>85725</xdr:colOff>
                    <xdr:row>1</xdr:row>
                    <xdr:rowOff>9525</xdr:rowOff>
                  </from>
                  <to>
                    <xdr:col>7</xdr:col>
                    <xdr:colOff>733425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C11"/>
  <sheetViews>
    <sheetView workbookViewId="0">
      <selection activeCell="H16" sqref="H16"/>
    </sheetView>
  </sheetViews>
  <sheetFormatPr baseColWidth="10" defaultRowHeight="15" x14ac:dyDescent="0.25"/>
  <cols>
    <col min="1" max="3" width="33" customWidth="1"/>
  </cols>
  <sheetData>
    <row r="1" spans="1:3" x14ac:dyDescent="0.25">
      <c r="A1" s="30" t="s">
        <v>41</v>
      </c>
      <c r="B1" s="30" t="s">
        <v>42</v>
      </c>
      <c r="C1" s="30" t="s">
        <v>43</v>
      </c>
    </row>
    <row r="2" spans="1:3" ht="30" x14ac:dyDescent="0.25">
      <c r="A2" s="31" t="s">
        <v>44</v>
      </c>
      <c r="B2" s="31" t="s">
        <v>45</v>
      </c>
      <c r="C2" s="31" t="s">
        <v>46</v>
      </c>
    </row>
    <row r="3" spans="1:3" ht="30" x14ac:dyDescent="0.25">
      <c r="A3" s="31" t="s">
        <v>47</v>
      </c>
      <c r="B3" s="31" t="s">
        <v>48</v>
      </c>
      <c r="C3" s="31" t="s">
        <v>49</v>
      </c>
    </row>
    <row r="4" spans="1:3" ht="30" x14ac:dyDescent="0.25">
      <c r="A4" s="31" t="s">
        <v>50</v>
      </c>
      <c r="B4" s="31" t="s">
        <v>51</v>
      </c>
      <c r="C4" s="31" t="s">
        <v>52</v>
      </c>
    </row>
    <row r="5" spans="1:3" ht="30" x14ac:dyDescent="0.25">
      <c r="A5" s="31" t="s">
        <v>53</v>
      </c>
      <c r="B5" s="31" t="s">
        <v>54</v>
      </c>
      <c r="C5" s="31" t="s">
        <v>55</v>
      </c>
    </row>
    <row r="6" spans="1:3" ht="30" x14ac:dyDescent="0.25">
      <c r="A6" s="31" t="s">
        <v>56</v>
      </c>
      <c r="B6" s="31" t="s">
        <v>57</v>
      </c>
      <c r="C6" s="31" t="s">
        <v>58</v>
      </c>
    </row>
    <row r="7" spans="1:3" ht="30" x14ac:dyDescent="0.25">
      <c r="A7" s="31" t="s">
        <v>59</v>
      </c>
      <c r="B7" s="31" t="s">
        <v>60</v>
      </c>
      <c r="C7" s="31" t="s">
        <v>61</v>
      </c>
    </row>
    <row r="8" spans="1:3" ht="30" x14ac:dyDescent="0.25">
      <c r="A8" s="31" t="s">
        <v>62</v>
      </c>
      <c r="B8" s="31" t="s">
        <v>63</v>
      </c>
      <c r="C8" s="31" t="s">
        <v>64</v>
      </c>
    </row>
    <row r="9" spans="1:3" x14ac:dyDescent="0.25">
      <c r="A9" s="31" t="s">
        <v>65</v>
      </c>
      <c r="B9" s="31" t="s">
        <v>66</v>
      </c>
      <c r="C9" s="31" t="s">
        <v>67</v>
      </c>
    </row>
    <row r="10" spans="1:3" ht="30" x14ac:dyDescent="0.25">
      <c r="A10" s="31" t="s">
        <v>68</v>
      </c>
      <c r="B10" s="31" t="s">
        <v>69</v>
      </c>
      <c r="C10" s="31" t="s">
        <v>70</v>
      </c>
    </row>
    <row r="11" spans="1:3" x14ac:dyDescent="0.25">
      <c r="A11" s="31" t="s">
        <v>71</v>
      </c>
      <c r="B11" s="31" t="s">
        <v>72</v>
      </c>
      <c r="C11" s="31" t="s">
        <v>73</v>
      </c>
    </row>
  </sheetData>
  <sheetProtection algorithmName="SHA-512" hashValue="AbuI7j1gDR0wdAtSldJ2Ggii4WkF7B2CQ8qt69ObzO1PbdVhfd8VtwRFPL5Al+ALLye3biMVOMHO+TrAmpZJKg==" saltValue="LD/8bj35dIS0Wx9F3PvOkA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pageSetUpPr fitToPage="1"/>
  </sheetPr>
  <dimension ref="A2:U356"/>
  <sheetViews>
    <sheetView rightToLeft="1" tabSelected="1" zoomScaleNormal="100" workbookViewId="0">
      <pane xSplit="6" ySplit="5" topLeftCell="S116" activePane="bottomRight" state="frozen"/>
      <selection pane="topRight" activeCell="G1" sqref="G1"/>
      <selection pane="bottomLeft" activeCell="A6" sqref="A6"/>
      <selection pane="bottomRight" activeCell="U122" sqref="U122"/>
    </sheetView>
  </sheetViews>
  <sheetFormatPr baseColWidth="10" defaultRowHeight="15" outlineLevelCol="1" x14ac:dyDescent="0.25"/>
  <cols>
    <col min="1" max="1" width="11.28515625" bestFit="1" customWidth="1"/>
    <col min="2" max="2" width="22.140625" bestFit="1" customWidth="1"/>
    <col min="3" max="3" width="18.7109375" bestFit="1" customWidth="1"/>
    <col min="4" max="4" width="18" bestFit="1" customWidth="1"/>
    <col min="5" max="5" width="20.28515625" bestFit="1" customWidth="1"/>
    <col min="6" max="6" width="10.7109375" bestFit="1" customWidth="1"/>
    <col min="7" max="7" width="24.140625" bestFit="1" customWidth="1"/>
    <col min="8" max="8" width="13.28515625" bestFit="1" customWidth="1"/>
    <col min="9" max="9" width="22.140625" bestFit="1" customWidth="1"/>
    <col min="10" max="10" width="21.28515625" bestFit="1" customWidth="1"/>
    <col min="11" max="13" width="21.28515625" bestFit="1" customWidth="1" outlineLevel="1"/>
    <col min="14" max="14" width="22.140625" customWidth="1" outlineLevel="1"/>
    <col min="15" max="17" width="21.28515625" bestFit="1" customWidth="1" outlineLevel="1"/>
    <col min="18" max="18" width="13" customWidth="1" outlineLevel="1"/>
    <col min="19" max="19" width="26.42578125" bestFit="1" customWidth="1"/>
    <col min="20" max="20" width="24.140625" bestFit="1" customWidth="1"/>
    <col min="21" max="21" width="19.42578125" bestFit="1" customWidth="1"/>
  </cols>
  <sheetData>
    <row r="2" spans="1:21" ht="15.75" thickBot="1" x14ac:dyDescent="0.3"/>
    <row r="3" spans="1:21" ht="24.75" thickBot="1" x14ac:dyDescent="0.45">
      <c r="C3">
        <f>66</f>
        <v>66</v>
      </c>
      <c r="F3" s="15">
        <f>COUNTA(Tableau1[الاسم واللقب])</f>
        <v>119</v>
      </c>
      <c r="G3" s="16">
        <f>SUM(Tableau1[حقوق الاشتراك])</f>
        <v>0</v>
      </c>
      <c r="H3" s="16">
        <f>SUM(Tableau1[سبتمبر])</f>
        <v>0</v>
      </c>
      <c r="I3" s="16">
        <f>SUM(Tableau1[أكتوبر])</f>
        <v>0</v>
      </c>
      <c r="J3" s="16">
        <f>SUM(Tableau1[نوفمبر])</f>
        <v>0</v>
      </c>
      <c r="K3" s="16">
        <f>SUM(Tableau1[ديسمبر])</f>
        <v>0</v>
      </c>
      <c r="L3" s="16">
        <f>SUM(Tableau1[جانفي])</f>
        <v>0</v>
      </c>
      <c r="M3" s="16">
        <f>SUM(Tableau1[فيفري])</f>
        <v>0</v>
      </c>
      <c r="N3" s="16">
        <f>SUM(Tableau1[مارس])</f>
        <v>0</v>
      </c>
      <c r="O3" s="16">
        <f>SUM(Tableau1[افريل])</f>
        <v>0</v>
      </c>
      <c r="P3" s="16">
        <f>SUM(Tableau1[[ماي ]])</f>
        <v>0</v>
      </c>
      <c r="Q3" s="16">
        <f>SUM(Tableau1[جوان])</f>
        <v>0</v>
      </c>
      <c r="R3" s="16">
        <f>SUM(Tableau1[جويلية])</f>
        <v>0</v>
      </c>
      <c r="S3" s="16">
        <f>SUM(Tableau1[heure de saisie])</f>
        <v>4461601.257858796</v>
      </c>
      <c r="T3" s="16">
        <f>SUM(Tableau1[Total])</f>
        <v>8000</v>
      </c>
    </row>
    <row r="4" spans="1:21" ht="9" customHeight="1" x14ac:dyDescent="0.25"/>
    <row r="5" spans="1:21" ht="21.75" thickBot="1" x14ac:dyDescent="0.3">
      <c r="A5" s="11" t="s">
        <v>0</v>
      </c>
      <c r="B5" s="12" t="s">
        <v>1</v>
      </c>
      <c r="C5" s="12" t="s">
        <v>2</v>
      </c>
      <c r="D5" s="12" t="s">
        <v>3</v>
      </c>
      <c r="E5" s="12" t="s">
        <v>4</v>
      </c>
      <c r="F5" s="12" t="s">
        <v>5</v>
      </c>
      <c r="G5" s="13" t="s">
        <v>6</v>
      </c>
      <c r="H5" s="11" t="s">
        <v>7</v>
      </c>
      <c r="I5" s="12" t="s">
        <v>8</v>
      </c>
      <c r="J5" s="12" t="s">
        <v>9</v>
      </c>
      <c r="K5" s="12" t="s">
        <v>10</v>
      </c>
      <c r="L5" s="12" t="s">
        <v>11</v>
      </c>
      <c r="M5" s="12" t="s">
        <v>12</v>
      </c>
      <c r="N5" s="13" t="s">
        <v>13</v>
      </c>
      <c r="O5" s="11" t="s">
        <v>14</v>
      </c>
      <c r="P5" s="12" t="s">
        <v>15</v>
      </c>
      <c r="Q5" s="12" t="s">
        <v>16</v>
      </c>
      <c r="R5" s="12" t="s">
        <v>17</v>
      </c>
      <c r="S5" s="12" t="s">
        <v>75</v>
      </c>
      <c r="T5" s="12" t="s">
        <v>21</v>
      </c>
      <c r="U5" s="82" t="s">
        <v>136</v>
      </c>
    </row>
    <row r="6" spans="1:21" ht="24" x14ac:dyDescent="0.25">
      <c r="A6" s="32">
        <v>120</v>
      </c>
      <c r="B6" s="121" t="s">
        <v>248</v>
      </c>
      <c r="C6" s="59">
        <v>41214</v>
      </c>
      <c r="D6" s="121" t="s">
        <v>39</v>
      </c>
      <c r="E6" s="14">
        <v>46184</v>
      </c>
      <c r="F6" s="122" t="str">
        <f>+IF(U7="Abandonne","خارج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U14</v>
      </c>
      <c r="G6" s="123"/>
      <c r="H6" s="124"/>
      <c r="I6" s="109"/>
      <c r="J6" s="109"/>
      <c r="K6" s="109"/>
      <c r="L6" s="109"/>
      <c r="M6" s="109"/>
      <c r="N6" s="109"/>
      <c r="O6" s="109"/>
      <c r="P6" s="109"/>
      <c r="Q6" s="109"/>
      <c r="R6" s="125"/>
      <c r="S6" s="126">
        <v>46184.631909722222</v>
      </c>
      <c r="T6" s="57">
        <f>SUM(Tableau1[[#This Row],[حقوق الاشتراك]:[جويلية]])</f>
        <v>0</v>
      </c>
      <c r="U6" s="82" t="s">
        <v>136</v>
      </c>
    </row>
    <row r="7" spans="1:21" ht="24" x14ac:dyDescent="0.25">
      <c r="A7" s="32">
        <v>119</v>
      </c>
      <c r="B7" s="121" t="s">
        <v>246</v>
      </c>
      <c r="C7" s="52">
        <v>41275</v>
      </c>
      <c r="D7" s="121" t="s">
        <v>144</v>
      </c>
      <c r="E7" s="14">
        <v>46152</v>
      </c>
      <c r="F7" s="122" t="str">
        <f>+IF(U8="Abandonne","خارج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7" s="123"/>
      <c r="H7" s="124"/>
      <c r="I7" s="109"/>
      <c r="J7" s="109"/>
      <c r="K7" s="109"/>
      <c r="L7" s="109"/>
      <c r="M7" s="109"/>
      <c r="N7" s="109"/>
      <c r="O7" s="109"/>
      <c r="P7" s="109"/>
      <c r="Q7" s="109"/>
      <c r="R7" s="125"/>
      <c r="S7" s="126">
        <v>46167.896666666667</v>
      </c>
      <c r="T7" s="57">
        <f>SUM(Tableau1[[#This Row],[حقوق الاشتراك]:[جويلية]])</f>
        <v>0</v>
      </c>
      <c r="U7" s="82" t="s">
        <v>136</v>
      </c>
    </row>
    <row r="8" spans="1:21" ht="24" x14ac:dyDescent="0.25">
      <c r="A8" s="32">
        <v>118</v>
      </c>
      <c r="B8" s="121" t="s">
        <v>247</v>
      </c>
      <c r="C8" s="52">
        <v>41431</v>
      </c>
      <c r="D8" s="121" t="s">
        <v>80</v>
      </c>
      <c r="E8" s="14">
        <v>46164</v>
      </c>
      <c r="F8" s="122" t="str">
        <f>+IF(U9="Abandonne","خارج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8" s="123"/>
      <c r="H8" s="124"/>
      <c r="I8" s="109"/>
      <c r="J8" s="109"/>
      <c r="K8" s="109"/>
      <c r="L8" s="109"/>
      <c r="M8" s="109"/>
      <c r="N8" s="109"/>
      <c r="O8" s="109"/>
      <c r="P8" s="109"/>
      <c r="Q8" s="109"/>
      <c r="R8" s="125"/>
      <c r="S8" s="126">
        <v>46164.931944444441</v>
      </c>
      <c r="T8" s="57">
        <f>SUM(Tableau1[[#This Row],[حقوق الاشتراك]:[جويلية]])</f>
        <v>0</v>
      </c>
      <c r="U8" s="82" t="s">
        <v>136</v>
      </c>
    </row>
    <row r="9" spans="1:21" ht="24" x14ac:dyDescent="0.25">
      <c r="A9" s="32">
        <v>117</v>
      </c>
      <c r="B9" s="115" t="s">
        <v>249</v>
      </c>
      <c r="C9" s="52">
        <v>43831</v>
      </c>
      <c r="D9" s="115" t="s">
        <v>39</v>
      </c>
      <c r="E9" s="116">
        <v>46164</v>
      </c>
      <c r="F9" s="27" t="str">
        <f>+IF(U6="Abandonne","خارج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U7</v>
      </c>
      <c r="G9" s="123"/>
      <c r="H9" s="124"/>
      <c r="I9" s="109"/>
      <c r="J9" s="109"/>
      <c r="K9" s="109"/>
      <c r="L9" s="109"/>
      <c r="M9" s="109"/>
      <c r="N9" s="109"/>
      <c r="O9" s="109"/>
      <c r="P9" s="109"/>
      <c r="Q9" s="109"/>
      <c r="R9" s="125"/>
      <c r="S9" s="126"/>
      <c r="T9" s="57">
        <f>SUM(Tableau1[[#This Row],[حقوق الاشتراك]:[جويلية]])</f>
        <v>0</v>
      </c>
      <c r="U9" s="82" t="s">
        <v>136</v>
      </c>
    </row>
    <row r="10" spans="1:21" ht="24" x14ac:dyDescent="0.25">
      <c r="A10" s="32">
        <v>116</v>
      </c>
      <c r="B10" s="115" t="s">
        <v>245</v>
      </c>
      <c r="C10" s="52">
        <v>44195</v>
      </c>
      <c r="D10" s="115"/>
      <c r="E10" s="116">
        <v>46164</v>
      </c>
      <c r="F10" s="27" t="str">
        <f>+IF(U10="Abandonne","خارج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U7</v>
      </c>
      <c r="G10" s="56"/>
      <c r="H10" s="117"/>
      <c r="I10" s="110"/>
      <c r="J10" s="110"/>
      <c r="K10" s="110"/>
      <c r="L10" s="110"/>
      <c r="M10" s="110"/>
      <c r="N10" s="110"/>
      <c r="O10" s="54"/>
      <c r="P10" s="55"/>
      <c r="Q10" s="55"/>
      <c r="R10" s="55"/>
      <c r="S10" s="51">
        <v>46164.914965277778</v>
      </c>
      <c r="T10" s="57">
        <f>SUM(Tableau1[[#This Row],[حقوق الاشتراك]:[جويلية]])</f>
        <v>0</v>
      </c>
      <c r="U10" s="82" t="s">
        <v>136</v>
      </c>
    </row>
    <row r="11" spans="1:21" ht="24" x14ac:dyDescent="0.25">
      <c r="A11" s="32">
        <v>115</v>
      </c>
      <c r="B11" s="115" t="s">
        <v>244</v>
      </c>
      <c r="C11" s="52">
        <v>41794</v>
      </c>
      <c r="D11" s="115" t="s">
        <v>80</v>
      </c>
      <c r="E11" s="116">
        <v>46164</v>
      </c>
      <c r="F11" s="27" t="str">
        <f>+IF(U11="Abandonne","خارج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11" s="56"/>
      <c r="H11" s="117"/>
      <c r="I11" s="110"/>
      <c r="J11" s="110"/>
      <c r="K11" s="110"/>
      <c r="L11" s="110"/>
      <c r="M11" s="110"/>
      <c r="N11" s="110"/>
      <c r="O11" s="54"/>
      <c r="P11" s="55"/>
      <c r="Q11" s="55"/>
      <c r="R11" s="55"/>
      <c r="S11" s="51">
        <v>46164.914571759262</v>
      </c>
      <c r="T11" s="57">
        <f>SUM(Tableau1[[#This Row],[حقوق الاشتراك]:[جويلية]])</f>
        <v>0</v>
      </c>
      <c r="U11" s="82" t="s">
        <v>136</v>
      </c>
    </row>
    <row r="12" spans="1:21" ht="24" x14ac:dyDescent="0.25">
      <c r="A12" s="32">
        <v>114</v>
      </c>
      <c r="B12" s="115" t="s">
        <v>241</v>
      </c>
      <c r="C12" s="52">
        <v>42281</v>
      </c>
      <c r="D12" s="115" t="s">
        <v>37</v>
      </c>
      <c r="E12" s="116">
        <v>46148</v>
      </c>
      <c r="F12" s="27" t="str">
        <f>+IF(U12="Abandonne","خارج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12" s="56"/>
      <c r="H12" s="117"/>
      <c r="I12" s="110"/>
      <c r="J12" s="110"/>
      <c r="K12" s="110"/>
      <c r="L12" s="110"/>
      <c r="M12" s="110"/>
      <c r="N12" s="110"/>
      <c r="O12" s="54"/>
      <c r="P12" s="55"/>
      <c r="Q12" s="55"/>
      <c r="R12" s="55"/>
      <c r="S12" s="51">
        <v>46148.891215277778</v>
      </c>
      <c r="T12" s="57">
        <f>SUM(Tableau1[[#This Row],[حقوق الاشتراك]:[جويلية]])</f>
        <v>0</v>
      </c>
      <c r="U12" s="82" t="s">
        <v>136</v>
      </c>
    </row>
    <row r="13" spans="1:21" ht="24" x14ac:dyDescent="0.25">
      <c r="A13" s="32">
        <v>113</v>
      </c>
      <c r="B13" s="115" t="s">
        <v>236</v>
      </c>
      <c r="C13" s="52"/>
      <c r="D13" s="115"/>
      <c r="E13" s="116">
        <v>46147</v>
      </c>
      <c r="F13" s="27" t="str">
        <f>+IF(U13="Abandonne","خارج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/>
      </c>
      <c r="G13" s="56"/>
      <c r="H13" s="117"/>
      <c r="I13" s="110"/>
      <c r="J13" s="110"/>
      <c r="K13" s="110"/>
      <c r="L13" s="110"/>
      <c r="M13" s="110"/>
      <c r="N13" s="110"/>
      <c r="O13" s="54"/>
      <c r="P13" s="55"/>
      <c r="Q13" s="55"/>
      <c r="R13" s="55"/>
      <c r="S13" s="51">
        <v>46148.890706018516</v>
      </c>
      <c r="T13" s="57">
        <f>SUM(Tableau1[[#This Row],[حقوق الاشتراك]:[جويلية]])</f>
        <v>0</v>
      </c>
      <c r="U13" s="82" t="s">
        <v>136</v>
      </c>
    </row>
    <row r="14" spans="1:21" ht="24" x14ac:dyDescent="0.25">
      <c r="A14" s="32">
        <v>112</v>
      </c>
      <c r="B14" s="115" t="s">
        <v>240</v>
      </c>
      <c r="C14" s="52"/>
      <c r="D14" s="115"/>
      <c r="E14" s="116">
        <v>46149</v>
      </c>
      <c r="F14" s="27" t="str">
        <f>+IF(U14="Abandonne","خارج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/>
      </c>
      <c r="G14" s="56"/>
      <c r="H14" s="117"/>
      <c r="I14" s="110"/>
      <c r="J14" s="110"/>
      <c r="K14" s="110"/>
      <c r="L14" s="110"/>
      <c r="M14" s="110"/>
      <c r="N14" s="110"/>
      <c r="O14" s="54"/>
      <c r="P14" s="55"/>
      <c r="Q14" s="55"/>
      <c r="R14" s="55"/>
      <c r="S14" s="51">
        <v>46147.900983796295</v>
      </c>
      <c r="T14" s="57">
        <f>SUM(Tableau1[[#This Row],[حقوق الاشتراك]:[جويلية]])</f>
        <v>0</v>
      </c>
      <c r="U14" s="82" t="s">
        <v>136</v>
      </c>
    </row>
    <row r="15" spans="1:21" ht="24" x14ac:dyDescent="0.25">
      <c r="A15" s="32">
        <v>111</v>
      </c>
      <c r="B15" s="115" t="s">
        <v>235</v>
      </c>
      <c r="C15" s="52">
        <v>41401</v>
      </c>
      <c r="D15" s="115" t="s">
        <v>76</v>
      </c>
      <c r="E15" s="116">
        <v>46144</v>
      </c>
      <c r="F15" s="27" t="str">
        <f>+IF(U15="Abandonne","خارج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15" s="56"/>
      <c r="H15" s="117"/>
      <c r="I15" s="110"/>
      <c r="J15" s="110"/>
      <c r="K15" s="110"/>
      <c r="L15" s="110"/>
      <c r="M15" s="110"/>
      <c r="N15" s="110"/>
      <c r="O15" s="54"/>
      <c r="P15" s="55"/>
      <c r="Q15" s="55"/>
      <c r="R15" s="55"/>
      <c r="S15" s="51">
        <v>46144.76189814815</v>
      </c>
      <c r="T15" s="57">
        <f>SUM(Tableau1[[#This Row],[حقوق الاشتراك]:[جويلية]])</f>
        <v>0</v>
      </c>
      <c r="U15" s="82" t="s">
        <v>136</v>
      </c>
    </row>
    <row r="16" spans="1:21" ht="24" x14ac:dyDescent="0.25">
      <c r="A16" s="32">
        <v>110</v>
      </c>
      <c r="B16" s="115" t="s">
        <v>234</v>
      </c>
      <c r="C16" s="52">
        <v>43220</v>
      </c>
      <c r="D16" s="115" t="s">
        <v>80</v>
      </c>
      <c r="E16" s="116">
        <v>46143</v>
      </c>
      <c r="F16" s="27" t="str">
        <f>+IF(U16="Abandonne","خارج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16" s="56"/>
      <c r="H16" s="117"/>
      <c r="I16" s="110"/>
      <c r="J16" s="110"/>
      <c r="K16" s="110"/>
      <c r="L16" s="110"/>
      <c r="M16" s="110"/>
      <c r="N16" s="110"/>
      <c r="O16" s="54"/>
      <c r="P16" s="55"/>
      <c r="Q16" s="55"/>
      <c r="R16" s="55"/>
      <c r="S16" s="51">
        <v>46143.784502314818</v>
      </c>
      <c r="T16" s="57">
        <f>SUM(Tableau1[[#This Row],[حقوق الاشتراك]:[جويلية]])</f>
        <v>0</v>
      </c>
      <c r="U16" s="82" t="s">
        <v>136</v>
      </c>
    </row>
    <row r="17" spans="1:21" ht="24" x14ac:dyDescent="0.25">
      <c r="A17" s="32">
        <v>109</v>
      </c>
      <c r="B17" s="115" t="s">
        <v>233</v>
      </c>
      <c r="C17" s="52">
        <v>41445</v>
      </c>
      <c r="D17" s="115" t="s">
        <v>37</v>
      </c>
      <c r="E17" s="116">
        <v>46143</v>
      </c>
      <c r="F17" s="27" t="str">
        <f>+IF(U17="Abandonne","خارج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17" s="56"/>
      <c r="H17" s="117"/>
      <c r="I17" s="110"/>
      <c r="J17" s="110"/>
      <c r="K17" s="110"/>
      <c r="L17" s="110"/>
      <c r="M17" s="110"/>
      <c r="N17" s="110"/>
      <c r="O17" s="54"/>
      <c r="P17" s="55"/>
      <c r="Q17" s="55"/>
      <c r="R17" s="55"/>
      <c r="S17" s="51">
        <v>46143.577534722222</v>
      </c>
      <c r="T17" s="57">
        <f>SUM(Tableau1[[#This Row],[حقوق الاشتراك]:[جويلية]])</f>
        <v>0</v>
      </c>
      <c r="U17" s="82" t="s">
        <v>136</v>
      </c>
    </row>
    <row r="18" spans="1:21" ht="24" x14ac:dyDescent="0.25">
      <c r="A18" s="32">
        <v>108</v>
      </c>
      <c r="B18" s="115" t="s">
        <v>231</v>
      </c>
      <c r="C18" s="52">
        <v>43523</v>
      </c>
      <c r="D18" s="115" t="s">
        <v>131</v>
      </c>
      <c r="E18" s="116">
        <v>46126</v>
      </c>
      <c r="F18" s="27" t="str">
        <f>+IF(U18="Abandonne","خارج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U7</v>
      </c>
      <c r="G18" s="56"/>
      <c r="H18" s="117"/>
      <c r="I18" s="110"/>
      <c r="J18" s="110"/>
      <c r="K18" s="110"/>
      <c r="L18" s="110"/>
      <c r="M18" s="110"/>
      <c r="N18" s="110"/>
      <c r="O18" s="54"/>
      <c r="P18" s="55"/>
      <c r="Q18" s="55"/>
      <c r="R18" s="55"/>
      <c r="S18" s="51">
        <v>46127.442430555559</v>
      </c>
      <c r="T18" s="57">
        <f>SUM(Tableau1[[#This Row],[حقوق الاشتراك]:[جويلية]])</f>
        <v>0</v>
      </c>
      <c r="U18" s="82" t="s">
        <v>136</v>
      </c>
    </row>
    <row r="19" spans="1:21" ht="24" x14ac:dyDescent="0.25">
      <c r="A19" s="32">
        <v>107</v>
      </c>
      <c r="B19" s="115" t="s">
        <v>232</v>
      </c>
      <c r="C19" s="52">
        <v>41502</v>
      </c>
      <c r="D19" s="115" t="s">
        <v>76</v>
      </c>
      <c r="E19" s="116">
        <v>46113</v>
      </c>
      <c r="F19" s="27"/>
      <c r="G19" s="56"/>
      <c r="H19" s="117"/>
      <c r="I19" s="110"/>
      <c r="J19" s="110"/>
      <c r="K19" s="110"/>
      <c r="L19" s="110"/>
      <c r="M19" s="110"/>
      <c r="N19" s="110"/>
      <c r="O19" s="54"/>
      <c r="P19" s="55"/>
      <c r="Q19" s="55"/>
      <c r="R19" s="55"/>
      <c r="S19" s="51">
        <v>46127.441562499997</v>
      </c>
      <c r="T19" s="57">
        <f>SUM(Tableau1[[#This Row],[حقوق الاشتراك]:[جويلية]])</f>
        <v>0</v>
      </c>
      <c r="U19" s="82" t="s">
        <v>136</v>
      </c>
    </row>
    <row r="20" spans="1:21" ht="24" x14ac:dyDescent="0.25">
      <c r="A20" s="32">
        <v>106</v>
      </c>
      <c r="B20" s="121"/>
      <c r="C20" s="59"/>
      <c r="D20" s="121"/>
      <c r="E20" s="14"/>
      <c r="F20" s="122"/>
      <c r="G20" s="56"/>
      <c r="H20" s="117"/>
      <c r="I20" s="110"/>
      <c r="J20" s="110"/>
      <c r="K20" s="110"/>
      <c r="L20" s="110"/>
      <c r="M20" s="110"/>
      <c r="N20" s="110"/>
      <c r="O20" s="54"/>
      <c r="P20" s="55"/>
      <c r="Q20" s="55"/>
      <c r="R20" s="55"/>
      <c r="S20" s="51">
        <v>46127.441342592596</v>
      </c>
      <c r="T20" s="57">
        <f>SUM(Tableau1[[#This Row],[حقوق الاشتراك]:[جويلية]])</f>
        <v>0</v>
      </c>
      <c r="U20" s="82" t="s">
        <v>136</v>
      </c>
    </row>
    <row r="21" spans="1:21" ht="24" x14ac:dyDescent="0.25">
      <c r="A21" s="32">
        <v>105</v>
      </c>
      <c r="B21" s="115" t="s">
        <v>229</v>
      </c>
      <c r="C21" s="52">
        <v>41825</v>
      </c>
      <c r="D21" s="115" t="s">
        <v>39</v>
      </c>
      <c r="E21" s="116">
        <v>46115</v>
      </c>
      <c r="F21" s="27" t="str">
        <f>+IF(U21="Abandonne","خارج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21" s="56"/>
      <c r="H21" s="117"/>
      <c r="I21" s="110"/>
      <c r="J21" s="110"/>
      <c r="K21" s="110"/>
      <c r="L21" s="110"/>
      <c r="M21" s="110"/>
      <c r="N21" s="110"/>
      <c r="O21" s="54"/>
      <c r="P21" s="55"/>
      <c r="Q21" s="55"/>
      <c r="R21" s="55"/>
      <c r="S21" s="51">
        <v>46087.812372685185</v>
      </c>
      <c r="T21" s="57">
        <f>SUM(Tableau1[[#This Row],[حقوق الاشتراك]:[جويلية]])</f>
        <v>0</v>
      </c>
      <c r="U21" s="82" t="s">
        <v>136</v>
      </c>
    </row>
    <row r="22" spans="1:21" ht="24" x14ac:dyDescent="0.25">
      <c r="A22" s="32">
        <v>104</v>
      </c>
      <c r="B22" s="26" t="s">
        <v>227</v>
      </c>
      <c r="C22" s="52">
        <v>42212</v>
      </c>
      <c r="D22" s="53" t="s">
        <v>80</v>
      </c>
      <c r="E22" s="52">
        <v>46080</v>
      </c>
      <c r="F22" s="27" t="str">
        <f>+IF(U22="Abandonne","خارج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22" s="54"/>
      <c r="H22" s="54"/>
      <c r="I22" s="55"/>
      <c r="J22" s="55"/>
      <c r="K22" s="55"/>
      <c r="L22" s="110"/>
      <c r="M22" s="55"/>
      <c r="N22" s="56"/>
      <c r="O22" s="54"/>
      <c r="P22" s="55"/>
      <c r="Q22" s="55"/>
      <c r="R22" s="55"/>
      <c r="S22" s="51">
        <v>46080.74622685185</v>
      </c>
      <c r="T22" s="57">
        <f>SUM(Tableau1[[#This Row],[حقوق الاشتراك]:[جويلية]])</f>
        <v>0</v>
      </c>
      <c r="U22" s="82" t="s">
        <v>136</v>
      </c>
    </row>
    <row r="23" spans="1:21" ht="24" x14ac:dyDescent="0.25">
      <c r="A23" s="32">
        <v>103</v>
      </c>
      <c r="B23" s="26" t="s">
        <v>226</v>
      </c>
      <c r="C23" s="52">
        <v>43178</v>
      </c>
      <c r="D23" s="52" t="s">
        <v>152</v>
      </c>
      <c r="E23" s="52">
        <v>46080</v>
      </c>
      <c r="F23" s="27" t="str">
        <f>+IF(U23="Abandonne","خارج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23" s="54"/>
      <c r="H23" s="54"/>
      <c r="I23" s="55"/>
      <c r="J23" s="55"/>
      <c r="K23" s="55"/>
      <c r="L23" s="110"/>
      <c r="M23" s="55"/>
      <c r="N23" s="56"/>
      <c r="O23" s="54"/>
      <c r="P23" s="55"/>
      <c r="Q23" s="55"/>
      <c r="R23" s="55"/>
      <c r="S23" s="51">
        <v>46080.510925925926</v>
      </c>
      <c r="T23" s="57">
        <f>SUM(Tableau1[[#This Row],[حقوق الاشتراك]:[جويلية]])</f>
        <v>0</v>
      </c>
      <c r="U23" s="82" t="s">
        <v>136</v>
      </c>
    </row>
    <row r="24" spans="1:21" ht="24" x14ac:dyDescent="0.25">
      <c r="A24" s="32">
        <v>102</v>
      </c>
      <c r="B24" s="26" t="s">
        <v>225</v>
      </c>
      <c r="C24" s="52">
        <v>41846</v>
      </c>
      <c r="D24" s="53" t="s">
        <v>152</v>
      </c>
      <c r="E24" s="52">
        <v>46070</v>
      </c>
      <c r="F24" s="27" t="str">
        <f>+IF(U24="Abandonne","خارج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24" s="54"/>
      <c r="H24" s="54"/>
      <c r="I24" s="55"/>
      <c r="J24" s="55"/>
      <c r="K24" s="55"/>
      <c r="L24" s="110"/>
      <c r="M24" s="55"/>
      <c r="N24" s="56"/>
      <c r="O24" s="54"/>
      <c r="P24" s="55"/>
      <c r="Q24" s="55"/>
      <c r="R24" s="55"/>
      <c r="S24" s="51">
        <v>46071.382349537038</v>
      </c>
      <c r="T24" s="57">
        <f>SUM(Tableau1[[#This Row],[حقوق الاشتراك]:[جويلية]])</f>
        <v>0</v>
      </c>
      <c r="U24" s="82" t="s">
        <v>136</v>
      </c>
    </row>
    <row r="25" spans="1:21" ht="24" x14ac:dyDescent="0.25">
      <c r="A25" s="32">
        <v>101</v>
      </c>
      <c r="B25" s="26" t="s">
        <v>224</v>
      </c>
      <c r="C25" s="52">
        <v>41275</v>
      </c>
      <c r="D25" s="53"/>
      <c r="E25" s="52">
        <v>46070</v>
      </c>
      <c r="F25" s="27" t="str">
        <f>+IF(U25="Abandonne","خارج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25" s="54"/>
      <c r="H25" s="54"/>
      <c r="I25" s="55"/>
      <c r="J25" s="55"/>
      <c r="K25" s="55"/>
      <c r="L25" s="110"/>
      <c r="M25" s="55"/>
      <c r="N25" s="56"/>
      <c r="O25" s="54"/>
      <c r="P25" s="55"/>
      <c r="Q25" s="55"/>
      <c r="R25" s="55"/>
      <c r="S25" s="51">
        <v>46071.381111111114</v>
      </c>
      <c r="T25" s="57">
        <f>SUM(Tableau1[[#This Row],[حقوق الاشتراك]:[جويلية]])</f>
        <v>0</v>
      </c>
      <c r="U25" s="82" t="s">
        <v>136</v>
      </c>
    </row>
    <row r="26" spans="1:21" ht="24" x14ac:dyDescent="0.25">
      <c r="A26" s="32">
        <v>100</v>
      </c>
      <c r="B26" s="26" t="s">
        <v>223</v>
      </c>
      <c r="C26" s="52">
        <v>41275</v>
      </c>
      <c r="D26" s="53"/>
      <c r="E26" s="52">
        <v>46070</v>
      </c>
      <c r="F26" s="27" t="str">
        <f>+IF(U26="Abandonne","خارج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26" s="54"/>
      <c r="H26" s="54"/>
      <c r="I26" s="55"/>
      <c r="J26" s="55"/>
      <c r="K26" s="55"/>
      <c r="L26" s="110"/>
      <c r="M26" s="55"/>
      <c r="N26" s="56"/>
      <c r="O26" s="54"/>
      <c r="P26" s="55"/>
      <c r="Q26" s="55"/>
      <c r="R26" s="55"/>
      <c r="S26" s="51">
        <v>46071.379872685182</v>
      </c>
      <c r="T26" s="57">
        <f>SUM(Tableau1[[#This Row],[حقوق الاشتراك]:[جويلية]])</f>
        <v>0</v>
      </c>
      <c r="U26" s="82" t="s">
        <v>136</v>
      </c>
    </row>
    <row r="27" spans="1:21" ht="24" x14ac:dyDescent="0.25">
      <c r="A27" s="32">
        <v>99</v>
      </c>
      <c r="B27" s="26" t="s">
        <v>221</v>
      </c>
      <c r="C27" s="52">
        <v>43107</v>
      </c>
      <c r="D27" s="53" t="s">
        <v>222</v>
      </c>
      <c r="E27" s="52">
        <v>46059</v>
      </c>
      <c r="F27" s="27" t="str">
        <f>+IF(U27="Abandonne","خارج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27" s="54"/>
      <c r="H27" s="54"/>
      <c r="I27" s="55"/>
      <c r="J27" s="55"/>
      <c r="K27" s="55"/>
      <c r="L27" s="110"/>
      <c r="M27" s="55"/>
      <c r="N27" s="56"/>
      <c r="O27" s="54"/>
      <c r="P27" s="55"/>
      <c r="Q27" s="55"/>
      <c r="R27" s="55"/>
      <c r="S27" s="51">
        <v>46066.742789351854</v>
      </c>
      <c r="T27" s="57">
        <f>SUM(Tableau1[[#This Row],[حقوق الاشتراك]:[جويلية]])</f>
        <v>0</v>
      </c>
      <c r="U27" s="82" t="s">
        <v>136</v>
      </c>
    </row>
    <row r="28" spans="1:21" ht="24" x14ac:dyDescent="0.25">
      <c r="A28" s="32">
        <v>98</v>
      </c>
      <c r="B28" s="26" t="s">
        <v>220</v>
      </c>
      <c r="C28" s="52">
        <v>41916</v>
      </c>
      <c r="D28" s="53" t="s">
        <v>80</v>
      </c>
      <c r="E28" s="52">
        <v>46059</v>
      </c>
      <c r="F28" s="27" t="str">
        <f>+IF(U28="Abandonne","خارج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28" s="54"/>
      <c r="H28" s="54"/>
      <c r="I28" s="55"/>
      <c r="J28" s="55"/>
      <c r="K28" s="55"/>
      <c r="L28" s="109"/>
      <c r="M28" s="55"/>
      <c r="N28" s="56"/>
      <c r="O28" s="54"/>
      <c r="P28" s="55"/>
      <c r="Q28" s="55"/>
      <c r="R28" s="55"/>
      <c r="S28" s="51">
        <v>46066.741736111115</v>
      </c>
      <c r="T28" s="57">
        <f>SUM(Tableau1[[#This Row],[حقوق الاشتراك]:[جويلية]])</f>
        <v>0</v>
      </c>
      <c r="U28" s="82" t="s">
        <v>136</v>
      </c>
    </row>
    <row r="29" spans="1:21" ht="24" x14ac:dyDescent="0.25">
      <c r="A29" s="32">
        <v>97</v>
      </c>
      <c r="B29" s="26" t="s">
        <v>219</v>
      </c>
      <c r="C29" s="52">
        <v>41508</v>
      </c>
      <c r="D29" s="53" t="s">
        <v>152</v>
      </c>
      <c r="E29" s="52">
        <v>46059</v>
      </c>
      <c r="F29" s="27" t="str">
        <f>+IF(U29="Abandonne","خارج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29" s="54"/>
      <c r="H29" s="54"/>
      <c r="I29" s="55"/>
      <c r="J29" s="55"/>
      <c r="K29" s="55"/>
      <c r="L29" s="109"/>
      <c r="M29" s="55"/>
      <c r="N29" s="56"/>
      <c r="O29" s="54"/>
      <c r="P29" s="55"/>
      <c r="Q29" s="55"/>
      <c r="R29" s="55"/>
      <c r="S29" s="51">
        <v>46066.738032407404</v>
      </c>
      <c r="T29" s="57">
        <f>SUM(Tableau1[[#This Row],[حقوق الاشتراك]:[جويلية]])</f>
        <v>0</v>
      </c>
      <c r="U29" s="82" t="s">
        <v>136</v>
      </c>
    </row>
    <row r="30" spans="1:21" ht="24" x14ac:dyDescent="0.25">
      <c r="A30" s="32">
        <v>96</v>
      </c>
      <c r="B30" s="26" t="s">
        <v>217</v>
      </c>
      <c r="C30" s="52">
        <v>41794</v>
      </c>
      <c r="D30" s="53" t="s">
        <v>39</v>
      </c>
      <c r="E30" s="52">
        <v>46045</v>
      </c>
      <c r="F30" s="27" t="str">
        <f>+IF(U30="Abandonne","خارج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30" s="54"/>
      <c r="H30" s="54"/>
      <c r="I30" s="55"/>
      <c r="J30" s="55"/>
      <c r="K30" s="55"/>
      <c r="L30" s="55"/>
      <c r="M30" s="55"/>
      <c r="N30" s="56"/>
      <c r="O30" s="54"/>
      <c r="P30" s="55"/>
      <c r="Q30" s="55"/>
      <c r="R30" s="55"/>
      <c r="S30" s="51">
        <v>46045.766331018516</v>
      </c>
      <c r="T30" s="57">
        <f>SUM(Tableau1[[#This Row],[حقوق الاشتراك]:[جويلية]])</f>
        <v>0</v>
      </c>
      <c r="U30" s="82" t="s">
        <v>136</v>
      </c>
    </row>
    <row r="31" spans="1:21" ht="24" x14ac:dyDescent="0.25">
      <c r="A31" s="32">
        <v>95</v>
      </c>
      <c r="B31" s="26" t="s">
        <v>215</v>
      </c>
      <c r="C31" s="52">
        <v>41325</v>
      </c>
      <c r="D31" s="53" t="s">
        <v>216</v>
      </c>
      <c r="E31" s="52">
        <v>46038</v>
      </c>
      <c r="F31" s="27" t="str">
        <f>+IF(U31="Abandonne","خارج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31" s="54"/>
      <c r="H31" s="54"/>
      <c r="I31" s="55"/>
      <c r="J31" s="55"/>
      <c r="K31" s="55"/>
      <c r="L31" s="55"/>
      <c r="M31" s="55"/>
      <c r="N31" s="56"/>
      <c r="O31" s="54"/>
      <c r="P31" s="55"/>
      <c r="Q31" s="55"/>
      <c r="R31" s="55"/>
      <c r="S31" s="51">
        <v>46045.765625</v>
      </c>
      <c r="T31" s="57">
        <f>SUM(Tableau1[[#This Row],[حقوق الاشتراك]:[جويلية]])</f>
        <v>0</v>
      </c>
      <c r="U31" s="82" t="s">
        <v>136</v>
      </c>
    </row>
    <row r="32" spans="1:21" ht="24" x14ac:dyDescent="0.25">
      <c r="A32" s="32">
        <v>94</v>
      </c>
      <c r="B32" s="26" t="s">
        <v>214</v>
      </c>
      <c r="C32" s="52">
        <v>41823</v>
      </c>
      <c r="D32" s="53" t="s">
        <v>208</v>
      </c>
      <c r="E32" s="52">
        <v>46038</v>
      </c>
      <c r="F32" s="27" t="str">
        <f>+IF(U32="Abandonne","خارج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32" s="54"/>
      <c r="H32" s="54"/>
      <c r="I32" s="55"/>
      <c r="J32" s="55"/>
      <c r="K32" s="55"/>
      <c r="L32" s="55"/>
      <c r="M32" s="55"/>
      <c r="N32" s="56"/>
      <c r="O32" s="54"/>
      <c r="P32" s="55"/>
      <c r="Q32" s="55"/>
      <c r="R32" s="55"/>
      <c r="S32" s="51">
        <v>46038.79446759259</v>
      </c>
      <c r="T32" s="57">
        <f>SUM(Tableau1[[#This Row],[حقوق الاشتراك]:[جويلية]])</f>
        <v>0</v>
      </c>
      <c r="U32" s="82" t="s">
        <v>136</v>
      </c>
    </row>
    <row r="33" spans="1:21" ht="24" x14ac:dyDescent="0.25">
      <c r="A33" s="32">
        <v>93</v>
      </c>
      <c r="B33" s="26" t="s">
        <v>207</v>
      </c>
      <c r="C33" s="52">
        <v>42188</v>
      </c>
      <c r="D33" s="53" t="s">
        <v>208</v>
      </c>
      <c r="E33" s="52">
        <v>46024</v>
      </c>
      <c r="F33" s="27" t="str">
        <f>+IF(U33="Abandonne","خارج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33" s="54"/>
      <c r="H33" s="54"/>
      <c r="I33" s="55"/>
      <c r="J33" s="55"/>
      <c r="K33" s="55"/>
      <c r="L33" s="55"/>
      <c r="M33" s="55"/>
      <c r="N33" s="56"/>
      <c r="O33" s="54"/>
      <c r="P33" s="55"/>
      <c r="Q33" s="55"/>
      <c r="R33" s="55"/>
      <c r="S33" s="51">
        <v>46024.804085648146</v>
      </c>
      <c r="T33" s="57">
        <f>SUM(Tableau1[[#This Row],[حقوق الاشتراك]:[جويلية]])</f>
        <v>0</v>
      </c>
      <c r="U33" s="82" t="s">
        <v>136</v>
      </c>
    </row>
    <row r="34" spans="1:21" ht="24" x14ac:dyDescent="0.25">
      <c r="A34" s="32">
        <v>92</v>
      </c>
      <c r="B34" s="26" t="s">
        <v>205</v>
      </c>
      <c r="C34" s="52">
        <v>43128</v>
      </c>
      <c r="D34" s="53" t="s">
        <v>114</v>
      </c>
      <c r="E34" s="52">
        <v>46018</v>
      </c>
      <c r="F34" s="27" t="str">
        <f>+IF(U34="Abandonne","خارج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34" s="54"/>
      <c r="H34" s="54"/>
      <c r="I34" s="55"/>
      <c r="J34" s="55"/>
      <c r="K34" s="55"/>
      <c r="L34" s="55"/>
      <c r="M34" s="55"/>
      <c r="N34" s="56"/>
      <c r="O34" s="54"/>
      <c r="P34" s="55"/>
      <c r="Q34" s="55"/>
      <c r="R34" s="55"/>
      <c r="S34" s="51">
        <v>46021.788553240738</v>
      </c>
      <c r="T34" s="57">
        <f>SUM(Tableau1[[#This Row],[حقوق الاشتراك]:[جويلية]])</f>
        <v>0</v>
      </c>
      <c r="U34" s="82" t="s">
        <v>136</v>
      </c>
    </row>
    <row r="35" spans="1:21" ht="24" x14ac:dyDescent="0.25">
      <c r="A35" s="32">
        <v>91</v>
      </c>
      <c r="B35" s="26" t="s">
        <v>230</v>
      </c>
      <c r="C35" s="52">
        <v>44432</v>
      </c>
      <c r="D35" s="53" t="s">
        <v>37</v>
      </c>
      <c r="E35" s="52">
        <v>46011</v>
      </c>
      <c r="F35" s="27" t="str">
        <f>+IF(U35="Abandonne","خارج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U6</v>
      </c>
      <c r="G35" s="54"/>
      <c r="H35" s="54"/>
      <c r="I35" s="55"/>
      <c r="J35" s="55"/>
      <c r="K35" s="55"/>
      <c r="L35" s="55"/>
      <c r="M35" s="55"/>
      <c r="N35" s="56"/>
      <c r="O35" s="54"/>
      <c r="P35" s="55"/>
      <c r="Q35" s="55"/>
      <c r="R35" s="55"/>
      <c r="S35" s="51">
        <v>46019.522789351853</v>
      </c>
      <c r="T35" s="57">
        <f>SUM(Tableau1[[#This Row],[حقوق الاشتراك]:[جويلية]])</f>
        <v>0</v>
      </c>
      <c r="U35" s="82" t="s">
        <v>136</v>
      </c>
    </row>
    <row r="36" spans="1:21" ht="24" x14ac:dyDescent="0.25">
      <c r="A36" s="32">
        <v>90</v>
      </c>
      <c r="B36" s="26" t="s">
        <v>203</v>
      </c>
      <c r="C36" s="52">
        <v>41836</v>
      </c>
      <c r="D36" s="53" t="s">
        <v>39</v>
      </c>
      <c r="E36" s="52">
        <v>46017</v>
      </c>
      <c r="F36" s="27" t="str">
        <f>+IF(U36="Abandonne","خارج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36" s="54"/>
      <c r="H36" s="54"/>
      <c r="I36" s="55"/>
      <c r="J36" s="55"/>
      <c r="K36" s="55"/>
      <c r="L36" s="55"/>
      <c r="M36" s="55"/>
      <c r="N36" s="56"/>
      <c r="O36" s="54"/>
      <c r="P36" s="55"/>
      <c r="Q36" s="55"/>
      <c r="R36" s="55"/>
      <c r="S36" s="51">
        <v>46017.851388888892</v>
      </c>
      <c r="T36" s="57">
        <f>SUM(Tableau1[[#This Row],[حقوق الاشتراك]:[جويلية]])</f>
        <v>0</v>
      </c>
      <c r="U36" s="82" t="s">
        <v>136</v>
      </c>
    </row>
    <row r="37" spans="1:21" ht="24" x14ac:dyDescent="0.25">
      <c r="A37" s="32">
        <v>89</v>
      </c>
      <c r="B37" s="26" t="s">
        <v>202</v>
      </c>
      <c r="C37" s="52">
        <v>41861</v>
      </c>
      <c r="D37" s="53" t="s">
        <v>80</v>
      </c>
      <c r="E37" s="52">
        <v>46007</v>
      </c>
      <c r="F37" s="27" t="str">
        <f>+IF(U37="Abandonne","خارج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37" s="54"/>
      <c r="H37" s="54"/>
      <c r="I37" s="55"/>
      <c r="J37" s="55"/>
      <c r="K37" s="55"/>
      <c r="L37" s="55"/>
      <c r="M37" s="55"/>
      <c r="N37" s="56"/>
      <c r="O37" s="54"/>
      <c r="P37" s="55"/>
      <c r="Q37" s="55"/>
      <c r="R37" s="55"/>
      <c r="S37" s="51">
        <v>46010.796886574077</v>
      </c>
      <c r="T37" s="57">
        <f>SUM(Tableau1[[#This Row],[حقوق الاشتراك]:[جويلية]])</f>
        <v>0</v>
      </c>
      <c r="U37" s="82" t="s">
        <v>136</v>
      </c>
    </row>
    <row r="38" spans="1:21" ht="24" x14ac:dyDescent="0.25">
      <c r="A38" s="32">
        <v>88</v>
      </c>
      <c r="B38" s="26" t="s">
        <v>197</v>
      </c>
      <c r="C38" s="52">
        <v>40800</v>
      </c>
      <c r="D38" s="53" t="s">
        <v>76</v>
      </c>
      <c r="E38" s="52">
        <v>46004</v>
      </c>
      <c r="F38" s="27" t="str">
        <f>+IF(U38="Abandonne","خارج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U14</v>
      </c>
      <c r="G38" s="54"/>
      <c r="H38" s="54"/>
      <c r="I38" s="55"/>
      <c r="J38" s="55"/>
      <c r="K38" s="55"/>
      <c r="L38" s="55"/>
      <c r="M38" s="55"/>
      <c r="N38" s="56"/>
      <c r="O38" s="54"/>
      <c r="P38" s="55"/>
      <c r="Q38" s="55"/>
      <c r="R38" s="55"/>
      <c r="S38" s="51">
        <v>46004.896909722222</v>
      </c>
      <c r="T38" s="57">
        <f>SUM(Tableau1[[#This Row],[حقوق الاشتراك]:[جويلية]])</f>
        <v>0</v>
      </c>
      <c r="U38" s="82" t="s">
        <v>136</v>
      </c>
    </row>
    <row r="39" spans="1:21" ht="24" x14ac:dyDescent="0.25">
      <c r="A39" s="32">
        <v>87</v>
      </c>
      <c r="B39" s="26" t="s">
        <v>228</v>
      </c>
      <c r="C39" s="52">
        <v>43042</v>
      </c>
      <c r="D39" s="53" t="s">
        <v>76</v>
      </c>
      <c r="E39" s="52">
        <v>46087</v>
      </c>
      <c r="F39" s="27" t="str">
        <f>+IF(U21="Abandonne","خارج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39" s="54"/>
      <c r="H39" s="54"/>
      <c r="I39" s="55"/>
      <c r="J39" s="55"/>
      <c r="K39" s="55"/>
      <c r="L39" s="110"/>
      <c r="M39" s="55"/>
      <c r="N39" s="56"/>
      <c r="O39" s="54"/>
      <c r="P39" s="55"/>
      <c r="Q39" s="55"/>
      <c r="R39" s="55"/>
      <c r="S39" s="51">
        <v>45989.876493055555</v>
      </c>
      <c r="T39" s="57">
        <f>SUM(Tableau1[[#This Row],[حقوق الاشتراك]:[جويلية]])</f>
        <v>0</v>
      </c>
      <c r="U39" s="82" t="s">
        <v>136</v>
      </c>
    </row>
    <row r="40" spans="1:21" ht="24" x14ac:dyDescent="0.25">
      <c r="A40" s="32">
        <v>86</v>
      </c>
      <c r="B40" s="26" t="s">
        <v>193</v>
      </c>
      <c r="C40" s="52">
        <v>43282</v>
      </c>
      <c r="D40" s="53" t="s">
        <v>146</v>
      </c>
      <c r="E40" s="52">
        <v>45990</v>
      </c>
      <c r="F40" s="27" t="str">
        <f>+IF(U40="Abandonne","خارج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40" s="54"/>
      <c r="H40" s="54"/>
      <c r="I40" s="55"/>
      <c r="J40" s="55"/>
      <c r="K40" s="55"/>
      <c r="L40" s="55"/>
      <c r="M40" s="55"/>
      <c r="N40" s="56"/>
      <c r="O40" s="54"/>
      <c r="P40" s="55"/>
      <c r="Q40" s="55"/>
      <c r="R40" s="55"/>
      <c r="S40" s="51">
        <v>45988.825844907406</v>
      </c>
      <c r="T40" s="57">
        <f>SUM(Tableau1[[#This Row],[حقوق الاشتراك]:[جويلية]])</f>
        <v>0</v>
      </c>
      <c r="U40" s="82" t="s">
        <v>136</v>
      </c>
    </row>
    <row r="41" spans="1:21" ht="24" x14ac:dyDescent="0.25">
      <c r="A41" s="32">
        <v>85</v>
      </c>
      <c r="B41" s="26" t="s">
        <v>188</v>
      </c>
      <c r="C41" s="52">
        <v>41640</v>
      </c>
      <c r="D41" s="53"/>
      <c r="E41" s="52">
        <v>45983</v>
      </c>
      <c r="F41" s="27" t="str">
        <f>+IF(U41="Abandonne","خارج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41" s="54"/>
      <c r="H41" s="54"/>
      <c r="I41" s="55"/>
      <c r="J41" s="55"/>
      <c r="K41" s="55"/>
      <c r="L41" s="55"/>
      <c r="M41" s="55"/>
      <c r="N41" s="56"/>
      <c r="O41" s="54"/>
      <c r="P41" s="55"/>
      <c r="Q41" s="55"/>
      <c r="R41" s="55"/>
      <c r="S41" s="51">
        <v>45983.920057870368</v>
      </c>
      <c r="T41" s="57">
        <f>SUM(Tableau1[[#This Row],[حقوق الاشتراك]:[جويلية]])</f>
        <v>0</v>
      </c>
      <c r="U41" s="82" t="s">
        <v>136</v>
      </c>
    </row>
    <row r="42" spans="1:21" ht="24" x14ac:dyDescent="0.25">
      <c r="A42" s="32">
        <v>84</v>
      </c>
      <c r="B42" s="26" t="s">
        <v>182</v>
      </c>
      <c r="C42" s="52">
        <v>44197</v>
      </c>
      <c r="D42" s="53"/>
      <c r="E42" s="52">
        <v>45976</v>
      </c>
      <c r="F42" s="27" t="str">
        <f>+IF(U42="Abandonne","خارج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U6</v>
      </c>
      <c r="G42" s="54"/>
      <c r="H42" s="54"/>
      <c r="I42" s="55"/>
      <c r="J42" s="55"/>
      <c r="K42" s="55"/>
      <c r="L42" s="55"/>
      <c r="M42" s="55"/>
      <c r="N42" s="56"/>
      <c r="O42" s="54"/>
      <c r="P42" s="55"/>
      <c r="Q42" s="55"/>
      <c r="R42" s="55"/>
      <c r="S42" s="51">
        <v>45975.819467592592</v>
      </c>
      <c r="T42" s="57">
        <f>SUM(Tableau1[[#This Row],[حقوق الاشتراك]:[جويلية]])</f>
        <v>0</v>
      </c>
      <c r="U42" s="82" t="s">
        <v>136</v>
      </c>
    </row>
    <row r="43" spans="1:21" ht="24" x14ac:dyDescent="0.25">
      <c r="A43" s="32">
        <v>83</v>
      </c>
      <c r="B43" s="26" t="s">
        <v>192</v>
      </c>
      <c r="C43" s="52">
        <v>42256</v>
      </c>
      <c r="D43" s="53" t="s">
        <v>88</v>
      </c>
      <c r="E43" s="52">
        <v>45976</v>
      </c>
      <c r="F43" s="27" t="str">
        <f>+IF(U43="Abandonne","خارج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43" s="54"/>
      <c r="H43" s="54"/>
      <c r="I43" s="55"/>
      <c r="J43" s="55"/>
      <c r="K43" s="55"/>
      <c r="L43" s="55"/>
      <c r="M43" s="55"/>
      <c r="N43" s="56"/>
      <c r="O43" s="54"/>
      <c r="P43" s="55"/>
      <c r="Q43" s="55"/>
      <c r="R43" s="55"/>
      <c r="S43" s="51">
        <v>45975.819212962961</v>
      </c>
      <c r="T43" s="57">
        <f>SUM(Tableau1[[#This Row],[حقوق الاشتراك]:[جويلية]])</f>
        <v>0</v>
      </c>
      <c r="U43" s="82" t="s">
        <v>136</v>
      </c>
    </row>
    <row r="44" spans="1:21" ht="24" x14ac:dyDescent="0.25">
      <c r="A44" s="32">
        <v>82</v>
      </c>
      <c r="B44" s="26" t="s">
        <v>181</v>
      </c>
      <c r="C44" s="52">
        <v>40789</v>
      </c>
      <c r="D44" s="53" t="s">
        <v>80</v>
      </c>
      <c r="E44" s="52">
        <v>45976</v>
      </c>
      <c r="F44" s="27" t="str">
        <f>+IF(U44="Abandonne","خارج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U14</v>
      </c>
      <c r="G44" s="54"/>
      <c r="H44" s="54"/>
      <c r="I44" s="55"/>
      <c r="J44" s="55"/>
      <c r="K44" s="55"/>
      <c r="L44" s="55"/>
      <c r="M44" s="55"/>
      <c r="N44" s="56"/>
      <c r="O44" s="54"/>
      <c r="P44" s="55"/>
      <c r="Q44" s="55"/>
      <c r="R44" s="55"/>
      <c r="S44" s="51">
        <v>45975.819004629629</v>
      </c>
      <c r="T44" s="57">
        <f>SUM(Tableau1[[#This Row],[حقوق الاشتراك]:[جويلية]])</f>
        <v>0</v>
      </c>
      <c r="U44" s="82" t="s">
        <v>136</v>
      </c>
    </row>
    <row r="45" spans="1:21" ht="24" x14ac:dyDescent="0.25">
      <c r="A45" s="32">
        <v>81</v>
      </c>
      <c r="B45" s="26" t="s">
        <v>180</v>
      </c>
      <c r="C45" s="52">
        <v>40621</v>
      </c>
      <c r="D45" s="53" t="s">
        <v>37</v>
      </c>
      <c r="E45" s="52">
        <v>45962</v>
      </c>
      <c r="F45" s="27" t="str">
        <f>+IF(U45="Abandonne","خارج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U14</v>
      </c>
      <c r="G45" s="54"/>
      <c r="H45" s="54"/>
      <c r="I45" s="55"/>
      <c r="J45" s="55"/>
      <c r="K45" s="55"/>
      <c r="L45" s="55"/>
      <c r="M45" s="55"/>
      <c r="N45" s="56"/>
      <c r="O45" s="54"/>
      <c r="P45" s="55"/>
      <c r="Q45" s="55"/>
      <c r="R45" s="55"/>
      <c r="S45" s="51">
        <v>45975.818414351852</v>
      </c>
      <c r="T45" s="57">
        <f>SUM(Tableau1[[#This Row],[حقوق الاشتراك]:[جويلية]])</f>
        <v>0</v>
      </c>
      <c r="U45" s="82" t="s">
        <v>136</v>
      </c>
    </row>
    <row r="46" spans="1:21" ht="24" x14ac:dyDescent="0.25">
      <c r="A46" s="32">
        <v>80</v>
      </c>
      <c r="B46" s="26" t="s">
        <v>179</v>
      </c>
      <c r="C46" s="52">
        <v>44224</v>
      </c>
      <c r="D46" s="53" t="s">
        <v>80</v>
      </c>
      <c r="E46" s="52">
        <v>45962</v>
      </c>
      <c r="F46" s="27" t="str">
        <f>+IF(U46="Abandonne","خارج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U6</v>
      </c>
      <c r="G46" s="54"/>
      <c r="H46" s="54"/>
      <c r="I46" s="55"/>
      <c r="J46" s="55"/>
      <c r="K46" s="55"/>
      <c r="L46" s="55"/>
      <c r="M46" s="55"/>
      <c r="N46" s="56"/>
      <c r="O46" s="54"/>
      <c r="P46" s="55"/>
      <c r="Q46" s="55"/>
      <c r="R46" s="55"/>
      <c r="S46" s="51">
        <v>45975.817928240744</v>
      </c>
      <c r="T46" s="57">
        <f>SUM(Tableau1[[#This Row],[حقوق الاشتراك]:[جويلية]])</f>
        <v>0</v>
      </c>
      <c r="U46" s="82" t="s">
        <v>136</v>
      </c>
    </row>
    <row r="47" spans="1:21" ht="24" x14ac:dyDescent="0.25">
      <c r="A47" s="32">
        <v>79</v>
      </c>
      <c r="B47" s="26" t="s">
        <v>170</v>
      </c>
      <c r="C47" s="52">
        <v>42591</v>
      </c>
      <c r="D47" s="53" t="s">
        <v>186</v>
      </c>
      <c r="E47" s="52">
        <v>45962</v>
      </c>
      <c r="F47" s="27" t="str">
        <f>+IF(U47="Abandonne","خارج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47" s="54"/>
      <c r="H47" s="54"/>
      <c r="I47" s="55"/>
      <c r="J47" s="55"/>
      <c r="K47" s="55"/>
      <c r="L47" s="55"/>
      <c r="M47" s="55"/>
      <c r="N47" s="56"/>
      <c r="O47" s="54"/>
      <c r="P47" s="55"/>
      <c r="Q47" s="55"/>
      <c r="R47" s="55"/>
      <c r="S47" s="51">
        <v>45968.841643518521</v>
      </c>
      <c r="T47" s="57">
        <f>SUM(Tableau1[[#This Row],[حقوق الاشتراك]:[جويلية]])</f>
        <v>0</v>
      </c>
      <c r="U47" s="82" t="s">
        <v>136</v>
      </c>
    </row>
    <row r="48" spans="1:21" ht="24" x14ac:dyDescent="0.25">
      <c r="A48" s="32">
        <v>78</v>
      </c>
      <c r="B48" s="26" t="s">
        <v>187</v>
      </c>
      <c r="C48" s="52">
        <v>41808</v>
      </c>
      <c r="D48" s="53" t="s">
        <v>195</v>
      </c>
      <c r="E48" s="52">
        <v>45968</v>
      </c>
      <c r="F48" s="27" t="str">
        <f>+IF(U48="Abandonne","خارج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48" s="54"/>
      <c r="H48" s="54"/>
      <c r="I48" s="55"/>
      <c r="J48" s="55"/>
      <c r="K48" s="55"/>
      <c r="L48" s="55"/>
      <c r="M48" s="55"/>
      <c r="N48" s="56"/>
      <c r="O48" s="54"/>
      <c r="P48" s="55"/>
      <c r="Q48" s="55"/>
      <c r="R48" s="55"/>
      <c r="S48" s="51">
        <v>45968.841122685182</v>
      </c>
      <c r="T48" s="57">
        <f>SUM(Tableau1[[#This Row],[حقوق الاشتراك]:[جويلية]])</f>
        <v>0</v>
      </c>
      <c r="U48" s="82" t="s">
        <v>136</v>
      </c>
    </row>
    <row r="49" spans="1:21" ht="24" x14ac:dyDescent="0.25">
      <c r="A49" s="32">
        <v>77</v>
      </c>
      <c r="B49" s="26" t="s">
        <v>184</v>
      </c>
      <c r="C49" s="52">
        <v>42316</v>
      </c>
      <c r="D49" s="53" t="s">
        <v>88</v>
      </c>
      <c r="E49" s="52">
        <v>45968</v>
      </c>
      <c r="F49" s="27" t="str">
        <f>+IF(U49="Abandonne","خارج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49" s="54"/>
      <c r="H49" s="54"/>
      <c r="I49" s="55"/>
      <c r="J49" s="55"/>
      <c r="K49" s="55"/>
      <c r="L49" s="55"/>
      <c r="M49" s="55"/>
      <c r="N49" s="56"/>
      <c r="O49" s="54"/>
      <c r="P49" s="55"/>
      <c r="Q49" s="55"/>
      <c r="R49" s="55"/>
      <c r="S49" s="51">
        <v>45968.840590277781</v>
      </c>
      <c r="T49" s="57">
        <f>SUM(Tableau1[[#This Row],[حقوق الاشتراك]:[جويلية]])</f>
        <v>0</v>
      </c>
      <c r="U49" s="82" t="s">
        <v>136</v>
      </c>
    </row>
    <row r="50" spans="1:21" ht="24" x14ac:dyDescent="0.25">
      <c r="A50" s="32">
        <v>76</v>
      </c>
      <c r="B50" s="26" t="s">
        <v>168</v>
      </c>
      <c r="C50" s="52">
        <v>41746</v>
      </c>
      <c r="D50" s="53" t="s">
        <v>146</v>
      </c>
      <c r="E50" s="52">
        <v>45965</v>
      </c>
      <c r="F50" s="27" t="str">
        <f>+IF(U50="Abandonne","خارج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50" s="54"/>
      <c r="H50" s="54"/>
      <c r="I50" s="55"/>
      <c r="J50" s="55"/>
      <c r="K50" s="55"/>
      <c r="L50" s="55"/>
      <c r="M50" s="55"/>
      <c r="N50" s="56"/>
      <c r="O50" s="54"/>
      <c r="P50" s="55"/>
      <c r="Q50" s="55"/>
      <c r="R50" s="55"/>
      <c r="S50" s="51">
        <v>45965.710914351854</v>
      </c>
      <c r="T50" s="57">
        <f>SUM(Tableau1[[#This Row],[حقوق الاشتراك]:[جويلية]])</f>
        <v>0</v>
      </c>
      <c r="U50" s="82" t="s">
        <v>136</v>
      </c>
    </row>
    <row r="51" spans="1:21" ht="24" x14ac:dyDescent="0.25">
      <c r="A51" s="32">
        <v>75</v>
      </c>
      <c r="B51" s="26" t="s">
        <v>159</v>
      </c>
      <c r="C51" s="52">
        <v>42011</v>
      </c>
      <c r="D51" s="53" t="s">
        <v>146</v>
      </c>
      <c r="E51" s="52">
        <v>45955</v>
      </c>
      <c r="F51" s="27" t="str">
        <f>+IF(U51="Abandonne","خارج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51" s="54"/>
      <c r="H51" s="54"/>
      <c r="I51" s="55"/>
      <c r="J51" s="55"/>
      <c r="K51" s="55"/>
      <c r="L51" s="55"/>
      <c r="M51" s="55"/>
      <c r="N51" s="56"/>
      <c r="O51" s="54"/>
      <c r="P51" s="55"/>
      <c r="Q51" s="55"/>
      <c r="R51" s="55"/>
      <c r="S51" s="51">
        <v>45964.723495370374</v>
      </c>
      <c r="T51" s="57">
        <f>SUM(Tableau1[[#This Row],[حقوق الاشتراك]:[جويلية]])</f>
        <v>0</v>
      </c>
      <c r="U51" s="82" t="s">
        <v>136</v>
      </c>
    </row>
    <row r="52" spans="1:21" ht="24" x14ac:dyDescent="0.25">
      <c r="A52" s="32">
        <v>74</v>
      </c>
      <c r="B52" s="26" t="s">
        <v>164</v>
      </c>
      <c r="C52" s="52">
        <v>42430</v>
      </c>
      <c r="D52" s="53" t="s">
        <v>37</v>
      </c>
      <c r="E52" s="52">
        <v>45960</v>
      </c>
      <c r="F52" s="27" t="str">
        <f>+IF(U52="Abandonne","خارج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52" s="54"/>
      <c r="H52" s="54"/>
      <c r="I52" s="55"/>
      <c r="J52" s="55"/>
      <c r="K52" s="55"/>
      <c r="L52" s="55"/>
      <c r="M52" s="55"/>
      <c r="N52" s="56"/>
      <c r="O52" s="54"/>
      <c r="P52" s="55"/>
      <c r="Q52" s="55"/>
      <c r="R52" s="55"/>
      <c r="S52" s="51">
        <v>45964.715081018519</v>
      </c>
      <c r="T52" s="57">
        <f>SUM(Tableau1[[#This Row],[حقوق الاشتراك]:[جويلية]])</f>
        <v>0</v>
      </c>
      <c r="U52" s="82" t="s">
        <v>136</v>
      </c>
    </row>
    <row r="53" spans="1:21" ht="24" x14ac:dyDescent="0.25">
      <c r="A53" s="32">
        <v>73</v>
      </c>
      <c r="B53" s="26" t="s">
        <v>157</v>
      </c>
      <c r="C53" s="52">
        <v>41722</v>
      </c>
      <c r="D53" s="53" t="s">
        <v>196</v>
      </c>
      <c r="E53" s="52">
        <v>45961</v>
      </c>
      <c r="F53" s="27" t="str">
        <f>+IF(U53="Abandonne","خارج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53" s="54"/>
      <c r="H53" s="54"/>
      <c r="I53" s="55"/>
      <c r="J53" s="55"/>
      <c r="K53" s="55"/>
      <c r="L53" s="55"/>
      <c r="M53" s="55"/>
      <c r="N53" s="56"/>
      <c r="O53" s="54"/>
      <c r="P53" s="55"/>
      <c r="Q53" s="55"/>
      <c r="R53" s="55"/>
      <c r="S53" s="51">
        <v>45961.949861111112</v>
      </c>
      <c r="T53" s="57">
        <f>SUM(Tableau1[[#This Row],[حقوق الاشتراك]:[جويلية]])</f>
        <v>0</v>
      </c>
      <c r="U53" s="82" t="s">
        <v>136</v>
      </c>
    </row>
    <row r="54" spans="1:21" ht="24" x14ac:dyDescent="0.25">
      <c r="A54" s="32">
        <v>72</v>
      </c>
      <c r="B54" s="26" t="s">
        <v>201</v>
      </c>
      <c r="C54" s="52">
        <v>42874</v>
      </c>
      <c r="D54" s="53" t="s">
        <v>185</v>
      </c>
      <c r="E54" s="52">
        <v>45954</v>
      </c>
      <c r="F54" s="27" t="str">
        <f>+IF(U54="Abandonne","خارج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54" s="54"/>
      <c r="H54" s="54"/>
      <c r="I54" s="55"/>
      <c r="J54" s="55"/>
      <c r="K54" s="55"/>
      <c r="L54" s="55"/>
      <c r="M54" s="55"/>
      <c r="N54" s="56"/>
      <c r="O54" s="54"/>
      <c r="P54" s="55"/>
      <c r="Q54" s="55"/>
      <c r="R54" s="55"/>
      <c r="S54" s="51">
        <v>45961.949143518519</v>
      </c>
      <c r="T54" s="57">
        <f>SUM(Tableau1[[#This Row],[حقوق الاشتراك]:[جويلية]])</f>
        <v>0</v>
      </c>
      <c r="U54" s="82" t="s">
        <v>136</v>
      </c>
    </row>
    <row r="55" spans="1:21" ht="24" x14ac:dyDescent="0.25">
      <c r="A55" s="32">
        <v>71</v>
      </c>
      <c r="B55" s="26" t="s">
        <v>156</v>
      </c>
      <c r="C55" s="52">
        <v>41487</v>
      </c>
      <c r="D55" s="53" t="s">
        <v>152</v>
      </c>
      <c r="E55" s="52">
        <v>45954</v>
      </c>
      <c r="F55" s="27" t="str">
        <f>+IF(U55="Abandonne","خارج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55" s="54"/>
      <c r="H55" s="54"/>
      <c r="I55" s="55"/>
      <c r="J55" s="55"/>
      <c r="K55" s="55"/>
      <c r="L55" s="55"/>
      <c r="M55" s="55"/>
      <c r="N55" s="56"/>
      <c r="O55" s="54"/>
      <c r="P55" s="55"/>
      <c r="Q55" s="55"/>
      <c r="R55" s="55"/>
      <c r="S55" s="51">
        <v>45961.947291666664</v>
      </c>
      <c r="T55" s="57">
        <f>SUM(Tableau1[[#This Row],[حقوق الاشتراك]:[جويلية]])</f>
        <v>0</v>
      </c>
      <c r="U55" s="82" t="s">
        <v>136</v>
      </c>
    </row>
    <row r="56" spans="1:21" ht="24" x14ac:dyDescent="0.25">
      <c r="A56" s="32">
        <v>70</v>
      </c>
      <c r="B56" s="26" t="s">
        <v>155</v>
      </c>
      <c r="C56" s="52">
        <v>42512</v>
      </c>
      <c r="D56" s="53" t="s">
        <v>39</v>
      </c>
      <c r="E56" s="52">
        <v>45954</v>
      </c>
      <c r="F56" s="27" t="str">
        <f>+IF(U56="Abandonne","خارج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56" s="54"/>
      <c r="H56" s="54"/>
      <c r="I56" s="55"/>
      <c r="J56" s="55"/>
      <c r="K56" s="55"/>
      <c r="L56" s="55"/>
      <c r="M56" s="55"/>
      <c r="N56" s="56"/>
      <c r="O56" s="54"/>
      <c r="P56" s="55"/>
      <c r="Q56" s="55"/>
      <c r="R56" s="55"/>
      <c r="S56" s="51">
        <v>45961.946539351855</v>
      </c>
      <c r="T56" s="57">
        <v>4000</v>
      </c>
      <c r="U56" s="82" t="s">
        <v>136</v>
      </c>
    </row>
    <row r="57" spans="1:21" ht="24" x14ac:dyDescent="0.25">
      <c r="A57" s="32">
        <v>69</v>
      </c>
      <c r="B57" s="26" t="s">
        <v>154</v>
      </c>
      <c r="C57" s="52">
        <v>43234</v>
      </c>
      <c r="D57" s="53" t="s">
        <v>39</v>
      </c>
      <c r="E57" s="52">
        <v>45954</v>
      </c>
      <c r="F57" s="27" t="str">
        <f>+IF(U57="Abandonne","خارج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57" s="54"/>
      <c r="H57" s="54"/>
      <c r="I57" s="55"/>
      <c r="J57" s="55"/>
      <c r="K57" s="55"/>
      <c r="L57" s="55"/>
      <c r="M57" s="55"/>
      <c r="N57" s="56"/>
      <c r="O57" s="54"/>
      <c r="P57" s="55"/>
      <c r="Q57" s="55"/>
      <c r="R57" s="55"/>
      <c r="S57" s="51">
        <v>45961.945567129631</v>
      </c>
      <c r="T57" s="57">
        <v>4000</v>
      </c>
      <c r="U57" s="82" t="s">
        <v>136</v>
      </c>
    </row>
    <row r="58" spans="1:21" ht="24" x14ac:dyDescent="0.25">
      <c r="A58" s="32">
        <v>68</v>
      </c>
      <c r="B58" s="26" t="s">
        <v>153</v>
      </c>
      <c r="C58" s="52">
        <v>42543</v>
      </c>
      <c r="D58" s="53" t="s">
        <v>37</v>
      </c>
      <c r="E58" s="52">
        <v>45947</v>
      </c>
      <c r="F58" s="27" t="str">
        <f>+IF(U58="Abandonne","خارج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58" s="54"/>
      <c r="H58" s="54"/>
      <c r="I58" s="55"/>
      <c r="J58" s="55"/>
      <c r="K58" s="55"/>
      <c r="L58" s="55"/>
      <c r="M58" s="55"/>
      <c r="N58" s="56"/>
      <c r="O58" s="54"/>
      <c r="P58" s="55"/>
      <c r="Q58" s="55"/>
      <c r="R58" s="55"/>
      <c r="S58" s="51">
        <v>45961.944965277777</v>
      </c>
      <c r="T58" s="57">
        <f>SUM(Tableau1[[#This Row],[حقوق الاشتراك]:[جويلية]])</f>
        <v>0</v>
      </c>
      <c r="U58" s="82" t="s">
        <v>136</v>
      </c>
    </row>
    <row r="59" spans="1:21" ht="24" x14ac:dyDescent="0.25">
      <c r="A59" s="32">
        <v>67</v>
      </c>
      <c r="B59" s="26" t="s">
        <v>151</v>
      </c>
      <c r="C59" s="52">
        <v>42169</v>
      </c>
      <c r="D59" s="53" t="s">
        <v>152</v>
      </c>
      <c r="E59" s="52">
        <v>45946</v>
      </c>
      <c r="F59" s="27" t="str">
        <f>+IF(U59="Abandonne","خارج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59" s="54"/>
      <c r="H59" s="54"/>
      <c r="I59" s="55"/>
      <c r="J59" s="55"/>
      <c r="K59" s="55"/>
      <c r="L59" s="55"/>
      <c r="M59" s="55"/>
      <c r="N59" s="56"/>
      <c r="O59" s="54"/>
      <c r="P59" s="55"/>
      <c r="Q59" s="55"/>
      <c r="R59" s="55"/>
      <c r="S59" s="51">
        <v>45961.944224537037</v>
      </c>
      <c r="T59" s="57">
        <f>SUM(Tableau1[[#This Row],[حقوق الاشتراك]:[جويلية]])</f>
        <v>0</v>
      </c>
      <c r="U59" s="82" t="s">
        <v>136</v>
      </c>
    </row>
    <row r="60" spans="1:21" ht="24" x14ac:dyDescent="0.25">
      <c r="A60" s="32">
        <v>66</v>
      </c>
      <c r="B60" s="26" t="s">
        <v>150</v>
      </c>
      <c r="C60" s="52">
        <v>41247</v>
      </c>
      <c r="D60" s="53" t="s">
        <v>37</v>
      </c>
      <c r="E60" s="52">
        <v>45949</v>
      </c>
      <c r="F60" s="27" t="str">
        <f>+IF(U60="Abandonne","خارج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U14</v>
      </c>
      <c r="G60" s="54"/>
      <c r="H60" s="54"/>
      <c r="I60" s="55"/>
      <c r="J60" s="55"/>
      <c r="K60" s="55"/>
      <c r="L60" s="55"/>
      <c r="M60" s="55"/>
      <c r="N60" s="56"/>
      <c r="O60" s="54"/>
      <c r="P60" s="55"/>
      <c r="Q60" s="55"/>
      <c r="R60" s="55"/>
      <c r="S60" s="51">
        <v>45961.942719907405</v>
      </c>
      <c r="T60" s="57">
        <f>SUM(Tableau1[[#This Row],[حقوق الاشتراك]:[جويلية]])</f>
        <v>0</v>
      </c>
      <c r="U60" s="82" t="s">
        <v>136</v>
      </c>
    </row>
    <row r="61" spans="1:21" ht="24" x14ac:dyDescent="0.25">
      <c r="A61" s="32">
        <v>65</v>
      </c>
      <c r="B61" s="26" t="s">
        <v>149</v>
      </c>
      <c r="C61" s="52">
        <v>41490</v>
      </c>
      <c r="D61" s="53" t="s">
        <v>84</v>
      </c>
      <c r="E61" s="52">
        <v>45954</v>
      </c>
      <c r="F61" s="27" t="str">
        <f>+IF(U61="Abandonne","خارج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61" s="54"/>
      <c r="H61" s="54"/>
      <c r="I61" s="55"/>
      <c r="J61" s="55"/>
      <c r="K61" s="55"/>
      <c r="L61" s="55"/>
      <c r="M61" s="55"/>
      <c r="N61" s="56"/>
      <c r="O61" s="54"/>
      <c r="P61" s="55"/>
      <c r="Q61" s="55"/>
      <c r="R61" s="55"/>
      <c r="S61" s="51">
        <v>45954.503935185188</v>
      </c>
      <c r="T61" s="57">
        <f>SUM(Tableau1[[#This Row],[حقوق الاشتراك]:[جويلية]])</f>
        <v>0</v>
      </c>
      <c r="U61" s="82" t="s">
        <v>136</v>
      </c>
    </row>
    <row r="62" spans="1:21" ht="24" x14ac:dyDescent="0.25">
      <c r="A62" s="32">
        <v>64</v>
      </c>
      <c r="B62" s="26" t="s">
        <v>137</v>
      </c>
      <c r="C62" s="52">
        <v>42459</v>
      </c>
      <c r="D62" s="53" t="s">
        <v>80</v>
      </c>
      <c r="E62" s="52">
        <v>45954</v>
      </c>
      <c r="F62" s="27" t="str">
        <f>+IF(U62="Abandonne","خارج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62" s="54"/>
      <c r="H62" s="54"/>
      <c r="I62" s="55"/>
      <c r="J62" s="55"/>
      <c r="K62" s="55"/>
      <c r="L62" s="55"/>
      <c r="M62" s="55"/>
      <c r="N62" s="56"/>
      <c r="O62" s="54"/>
      <c r="P62" s="55"/>
      <c r="Q62" s="55"/>
      <c r="R62" s="55"/>
      <c r="S62" s="51">
        <v>45954.498356481483</v>
      </c>
      <c r="T62" s="57">
        <f>SUM(Tableau1[[#This Row],[حقوق الاشتراك]:[جويلية]])</f>
        <v>0</v>
      </c>
      <c r="U62" s="82" t="s">
        <v>136</v>
      </c>
    </row>
    <row r="63" spans="1:21" ht="24" x14ac:dyDescent="0.25">
      <c r="A63" s="32">
        <v>63</v>
      </c>
      <c r="B63" s="26" t="s">
        <v>130</v>
      </c>
      <c r="C63" s="52">
        <v>42437</v>
      </c>
      <c r="D63" s="53" t="s">
        <v>146</v>
      </c>
      <c r="E63" s="52">
        <v>45946</v>
      </c>
      <c r="F63" s="27" t="str">
        <f>+IF(U63="Abandonne","خارج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63" s="54"/>
      <c r="H63" s="54"/>
      <c r="I63" s="55"/>
      <c r="J63" s="55"/>
      <c r="K63" s="55"/>
      <c r="L63" s="55"/>
      <c r="M63" s="55"/>
      <c r="N63" s="56"/>
      <c r="O63" s="54"/>
      <c r="P63" s="55"/>
      <c r="Q63" s="55"/>
      <c r="R63" s="55"/>
      <c r="S63" s="51">
        <v>45950.874282407407</v>
      </c>
      <c r="T63" s="57">
        <f>SUM(Tableau1[[#This Row],[حقوق الاشتراك]:[جويلية]])</f>
        <v>0</v>
      </c>
      <c r="U63" s="82" t="s">
        <v>136</v>
      </c>
    </row>
    <row r="64" spans="1:21" ht="24" x14ac:dyDescent="0.25">
      <c r="A64" s="32">
        <v>62</v>
      </c>
      <c r="B64" s="26" t="s">
        <v>129</v>
      </c>
      <c r="C64" s="52">
        <v>41570</v>
      </c>
      <c r="D64" s="53" t="s">
        <v>148</v>
      </c>
      <c r="E64" s="52">
        <v>45941</v>
      </c>
      <c r="F64" s="27" t="str">
        <f>+IF(U64="Abandonne","خارج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64" s="54"/>
      <c r="H64" s="54"/>
      <c r="I64" s="55"/>
      <c r="J64" s="55"/>
      <c r="K64" s="55"/>
      <c r="L64" s="55"/>
      <c r="M64" s="55"/>
      <c r="N64" s="56"/>
      <c r="O64" s="54"/>
      <c r="P64" s="55"/>
      <c r="Q64" s="55"/>
      <c r="R64" s="55"/>
      <c r="S64" s="51">
        <v>45950.863194444442</v>
      </c>
      <c r="T64" s="57">
        <f>SUM(Tableau1[[#This Row],[حقوق الاشتراك]:[جويلية]])</f>
        <v>0</v>
      </c>
      <c r="U64" s="82" t="s">
        <v>136</v>
      </c>
    </row>
    <row r="65" spans="1:21" ht="24" x14ac:dyDescent="0.25">
      <c r="A65" s="32">
        <v>61</v>
      </c>
      <c r="B65" s="26" t="s">
        <v>128</v>
      </c>
      <c r="C65" s="52">
        <v>41585</v>
      </c>
      <c r="D65" s="53" t="s">
        <v>39</v>
      </c>
      <c r="E65" s="52">
        <v>45941</v>
      </c>
      <c r="F65" s="27" t="str">
        <f>+IF(U65="Abandonne","خارج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65" s="54"/>
      <c r="H65" s="54"/>
      <c r="I65" s="55"/>
      <c r="J65" s="55"/>
      <c r="K65" s="55"/>
      <c r="L65" s="55"/>
      <c r="M65" s="55"/>
      <c r="N65" s="56"/>
      <c r="O65" s="54"/>
      <c r="P65" s="55"/>
      <c r="Q65" s="55"/>
      <c r="R65" s="55"/>
      <c r="S65" s="51">
        <v>45950.717303240737</v>
      </c>
      <c r="T65" s="57">
        <f>SUM(Tableau1[[#This Row],[حقوق الاشتراك]:[جويلية]])</f>
        <v>0</v>
      </c>
      <c r="U65" s="82" t="s">
        <v>136</v>
      </c>
    </row>
    <row r="66" spans="1:21" ht="24" x14ac:dyDescent="0.25">
      <c r="A66" s="32">
        <v>60</v>
      </c>
      <c r="B66" s="26" t="s">
        <v>127</v>
      </c>
      <c r="C66" s="52">
        <v>43018</v>
      </c>
      <c r="D66" s="53" t="s">
        <v>131</v>
      </c>
      <c r="E66" s="52">
        <v>45934</v>
      </c>
      <c r="F66" s="27" t="str">
        <f>+IF(U66="Abandonne","خارج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66" s="54"/>
      <c r="H66" s="54"/>
      <c r="I66" s="55"/>
      <c r="J66" s="55"/>
      <c r="K66" s="55"/>
      <c r="L66" s="55"/>
      <c r="M66" s="55"/>
      <c r="N66" s="56"/>
      <c r="O66" s="54"/>
      <c r="P66" s="55"/>
      <c r="Q66" s="55"/>
      <c r="R66" s="55"/>
      <c r="S66" s="51">
        <v>45947.894537037035</v>
      </c>
      <c r="T66" s="57">
        <f>SUM(Tableau1[[#This Row],[حقوق الاشتراك]:[جويلية]])</f>
        <v>0</v>
      </c>
      <c r="U66" s="82" t="s">
        <v>136</v>
      </c>
    </row>
    <row r="67" spans="1:21" ht="24" x14ac:dyDescent="0.25">
      <c r="A67" s="32">
        <v>59</v>
      </c>
      <c r="B67" s="45" t="s">
        <v>125</v>
      </c>
      <c r="C67" s="46">
        <v>41337</v>
      </c>
      <c r="D67" s="46" t="s">
        <v>143</v>
      </c>
      <c r="E67" s="46">
        <v>45940</v>
      </c>
      <c r="F67" s="27" t="str">
        <f>+IF(U67="Abandonne","خارج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67" s="48"/>
      <c r="H67" s="35"/>
      <c r="I67" s="36"/>
      <c r="J67" s="36"/>
      <c r="K67" s="36"/>
      <c r="L67" s="36"/>
      <c r="M67" s="36"/>
      <c r="N67" s="37"/>
      <c r="O67" s="35"/>
      <c r="P67" s="36"/>
      <c r="Q67" s="36"/>
      <c r="R67" s="36"/>
      <c r="S67" s="51">
        <v>45941.894537037035</v>
      </c>
      <c r="T67" s="81">
        <f>SUM(Tableau1[[#This Row],[حقوق الاشتراك]:[جويلية]])</f>
        <v>0</v>
      </c>
      <c r="U67" s="82" t="s">
        <v>136</v>
      </c>
    </row>
    <row r="68" spans="1:21" ht="24" x14ac:dyDescent="0.25">
      <c r="A68" s="32">
        <v>58</v>
      </c>
      <c r="B68" s="45" t="s">
        <v>124</v>
      </c>
      <c r="C68" s="46">
        <v>43766</v>
      </c>
      <c r="D68" s="46" t="s">
        <v>101</v>
      </c>
      <c r="E68" s="46">
        <v>45933</v>
      </c>
      <c r="F68" s="27" t="str">
        <f>+IF(U68="Abandonne","خارج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U7</v>
      </c>
      <c r="G68" s="48"/>
      <c r="H68" s="35"/>
      <c r="I68" s="36"/>
      <c r="J68" s="36"/>
      <c r="K68" s="36"/>
      <c r="L68" s="36"/>
      <c r="M68" s="36"/>
      <c r="N68" s="37"/>
      <c r="O68" s="35"/>
      <c r="P68" s="36"/>
      <c r="Q68" s="36"/>
      <c r="R68" s="36"/>
      <c r="S68" s="51">
        <v>45940.911493055559</v>
      </c>
      <c r="T68" s="81">
        <f>SUM(Tableau1[[#This Row],[حقوق الاشتراك]:[جويلية]])</f>
        <v>0</v>
      </c>
      <c r="U68" s="82" t="s">
        <v>136</v>
      </c>
    </row>
    <row r="69" spans="1:21" ht="24" x14ac:dyDescent="0.25">
      <c r="A69" s="32">
        <v>57</v>
      </c>
      <c r="B69" s="45" t="s">
        <v>123</v>
      </c>
      <c r="C69" s="46">
        <v>43246</v>
      </c>
      <c r="D69" s="46" t="s">
        <v>101</v>
      </c>
      <c r="E69" s="46">
        <v>45933</v>
      </c>
      <c r="F69" s="27" t="str">
        <f>+IF(U69="Abandonne","خارج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69" s="48"/>
      <c r="H69" s="35"/>
      <c r="I69" s="36"/>
      <c r="J69" s="36"/>
      <c r="K69" s="36"/>
      <c r="L69" s="36"/>
      <c r="M69" s="36"/>
      <c r="N69" s="37"/>
      <c r="O69" s="35"/>
      <c r="P69" s="36"/>
      <c r="Q69" s="36"/>
      <c r="R69" s="36"/>
      <c r="S69" s="51">
        <v>45940.908715277779</v>
      </c>
      <c r="T69" s="81">
        <f>SUM(Tableau1[[#This Row],[حقوق الاشتراك]:[جويلية]])</f>
        <v>0</v>
      </c>
      <c r="U69" s="82" t="s">
        <v>136</v>
      </c>
    </row>
    <row r="70" spans="1:21" ht="24" x14ac:dyDescent="0.25">
      <c r="A70" s="32">
        <v>56</v>
      </c>
      <c r="B70" s="45" t="s">
        <v>122</v>
      </c>
      <c r="C70" s="46">
        <v>42298</v>
      </c>
      <c r="D70" s="52" t="s">
        <v>80</v>
      </c>
      <c r="E70" s="46">
        <v>45940</v>
      </c>
      <c r="F70" s="27" t="str">
        <f>+IF(U70="Abandonne","خارج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70" s="48"/>
      <c r="H70" s="35"/>
      <c r="I70" s="36"/>
      <c r="J70" s="36"/>
      <c r="K70" s="36"/>
      <c r="L70" s="36"/>
      <c r="M70" s="36"/>
      <c r="N70" s="37"/>
      <c r="O70" s="35"/>
      <c r="P70" s="36"/>
      <c r="Q70" s="36"/>
      <c r="R70" s="36"/>
      <c r="S70" s="51">
        <v>45940.9065625</v>
      </c>
      <c r="T70" s="81">
        <f>SUM(Tableau1[[#This Row],[حقوق الاشتراك]:[جويلية]])</f>
        <v>0</v>
      </c>
      <c r="U70" s="82" t="s">
        <v>136</v>
      </c>
    </row>
    <row r="71" spans="1:21" ht="24" x14ac:dyDescent="0.25">
      <c r="A71" s="32">
        <v>55</v>
      </c>
      <c r="B71" s="45" t="s">
        <v>121</v>
      </c>
      <c r="C71" s="46">
        <v>42668</v>
      </c>
      <c r="D71" s="46" t="s">
        <v>158</v>
      </c>
      <c r="E71" s="46">
        <v>45934</v>
      </c>
      <c r="F71" s="27" t="str">
        <f>+IF(U71="Abandonne","خارج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71" s="48"/>
      <c r="H71" s="35"/>
      <c r="I71" s="36"/>
      <c r="J71" s="36"/>
      <c r="K71" s="36"/>
      <c r="L71" s="36"/>
      <c r="M71" s="36"/>
      <c r="N71" s="37"/>
      <c r="O71" s="35"/>
      <c r="P71" s="36"/>
      <c r="Q71" s="36"/>
      <c r="R71" s="36"/>
      <c r="S71" s="51">
        <v>45940.905289351853</v>
      </c>
      <c r="T71" s="81">
        <f>SUM(Tableau1[[#This Row],[حقوق الاشتراك]:[جويلية]])</f>
        <v>0</v>
      </c>
      <c r="U71" s="82" t="s">
        <v>136</v>
      </c>
    </row>
    <row r="72" spans="1:21" ht="24" x14ac:dyDescent="0.25">
      <c r="A72" s="32">
        <v>54</v>
      </c>
      <c r="B72" s="45" t="s">
        <v>120</v>
      </c>
      <c r="C72" s="46">
        <v>42010</v>
      </c>
      <c r="D72" s="46" t="s">
        <v>147</v>
      </c>
      <c r="E72" s="46">
        <v>45933</v>
      </c>
      <c r="F72" s="27" t="str">
        <f>+IF(U72="Abandonne","خارج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72" s="48"/>
      <c r="H72" s="35"/>
      <c r="I72" s="36"/>
      <c r="J72" s="36"/>
      <c r="K72" s="36"/>
      <c r="L72" s="36"/>
      <c r="M72" s="36"/>
      <c r="N72" s="37"/>
      <c r="O72" s="35"/>
      <c r="P72" s="36"/>
      <c r="Q72" s="36"/>
      <c r="R72" s="36"/>
      <c r="S72" s="51">
        <v>45940.902916666666</v>
      </c>
      <c r="T72" s="81">
        <f>SUM(Tableau1[[#This Row],[حقوق الاشتراك]:[جويلية]])</f>
        <v>0</v>
      </c>
      <c r="U72" s="82" t="s">
        <v>136</v>
      </c>
    </row>
    <row r="73" spans="1:21" ht="24" x14ac:dyDescent="0.25">
      <c r="A73" s="32">
        <v>53</v>
      </c>
      <c r="B73" s="45" t="s">
        <v>119</v>
      </c>
      <c r="C73" s="46">
        <v>42445</v>
      </c>
      <c r="D73" s="46" t="s">
        <v>146</v>
      </c>
      <c r="E73" s="46">
        <v>45933</v>
      </c>
      <c r="F73" s="27" t="str">
        <f>+IF(U73="Abandonne","خارج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73" s="48"/>
      <c r="H73" s="35"/>
      <c r="I73" s="36"/>
      <c r="J73" s="36"/>
      <c r="K73" s="36"/>
      <c r="L73" s="36"/>
      <c r="M73" s="36"/>
      <c r="N73" s="37"/>
      <c r="O73" s="35"/>
      <c r="P73" s="36"/>
      <c r="Q73" s="36"/>
      <c r="R73" s="36"/>
      <c r="S73" s="51">
        <v>45940.900497685187</v>
      </c>
      <c r="T73" s="81">
        <f>SUM(Tableau1[[#This Row],[حقوق الاشتراك]:[جويلية]])</f>
        <v>0</v>
      </c>
      <c r="U73" s="82" t="s">
        <v>136</v>
      </c>
    </row>
    <row r="74" spans="1:21" ht="24" x14ac:dyDescent="0.25">
      <c r="A74" s="32">
        <v>52</v>
      </c>
      <c r="B74" s="45" t="s">
        <v>118</v>
      </c>
      <c r="C74" s="46">
        <v>42260</v>
      </c>
      <c r="D74" s="52" t="s">
        <v>183</v>
      </c>
      <c r="E74" s="46">
        <v>45940</v>
      </c>
      <c r="F74" s="27" t="str">
        <f>+IF(U74="Abandonne","خارج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74" s="48"/>
      <c r="H74" s="35"/>
      <c r="I74" s="36"/>
      <c r="J74" s="36"/>
      <c r="K74" s="36"/>
      <c r="L74" s="36"/>
      <c r="M74" s="36"/>
      <c r="N74" s="37"/>
      <c r="O74" s="35"/>
      <c r="P74" s="36"/>
      <c r="Q74" s="36"/>
      <c r="R74" s="36"/>
      <c r="S74" s="51">
        <v>45940.89744212963</v>
      </c>
      <c r="T74" s="81">
        <f>SUM(Tableau1[[#This Row],[حقوق الاشتراك]:[جويلية]])</f>
        <v>0</v>
      </c>
      <c r="U74" s="82" t="s">
        <v>136</v>
      </c>
    </row>
    <row r="75" spans="1:21" ht="24" x14ac:dyDescent="0.25">
      <c r="A75" s="32">
        <v>51</v>
      </c>
      <c r="B75" s="45" t="s">
        <v>117</v>
      </c>
      <c r="C75" s="46">
        <v>41360</v>
      </c>
      <c r="D75" s="46" t="s">
        <v>132</v>
      </c>
      <c r="E75" s="46">
        <v>45940</v>
      </c>
      <c r="F75" s="27" t="str">
        <f>+IF(U75="Abandonne","خارج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75" s="48"/>
      <c r="H75" s="35"/>
      <c r="I75" s="36"/>
      <c r="J75" s="36"/>
      <c r="K75" s="36"/>
      <c r="L75" s="36"/>
      <c r="M75" s="36"/>
      <c r="N75" s="37"/>
      <c r="O75" s="35"/>
      <c r="P75" s="36"/>
      <c r="Q75" s="36"/>
      <c r="R75" s="36"/>
      <c r="S75" s="51">
        <v>45940.893518518518</v>
      </c>
      <c r="T75" s="81">
        <f>SUM(Tableau1[[#This Row],[حقوق الاشتراك]:[جويلية]])</f>
        <v>0</v>
      </c>
      <c r="U75" s="82" t="s">
        <v>136</v>
      </c>
    </row>
    <row r="76" spans="1:21" ht="24" x14ac:dyDescent="0.25">
      <c r="A76" s="32">
        <v>50</v>
      </c>
      <c r="B76" s="45" t="s">
        <v>116</v>
      </c>
      <c r="C76" s="46">
        <v>42778</v>
      </c>
      <c r="D76" s="46" t="s">
        <v>84</v>
      </c>
      <c r="E76" s="46">
        <v>45940</v>
      </c>
      <c r="F76" s="27" t="str">
        <f>+IF(U76="Abandonne","خارج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76" s="48"/>
      <c r="H76" s="35"/>
      <c r="I76" s="36"/>
      <c r="J76" s="36"/>
      <c r="K76" s="36"/>
      <c r="L76" s="36"/>
      <c r="M76" s="36"/>
      <c r="N76" s="37"/>
      <c r="O76" s="35"/>
      <c r="P76" s="36"/>
      <c r="Q76" s="36"/>
      <c r="R76" s="36"/>
      <c r="S76" s="51">
        <v>45940.89234953704</v>
      </c>
      <c r="T76" s="81">
        <f>SUM(Tableau1[[#This Row],[حقوق الاشتراك]:[جويلية]])</f>
        <v>0</v>
      </c>
      <c r="U76" s="82" t="s">
        <v>136</v>
      </c>
    </row>
    <row r="77" spans="1:21" ht="24" x14ac:dyDescent="0.25">
      <c r="A77" s="32">
        <v>49</v>
      </c>
      <c r="B77" s="45" t="s">
        <v>115</v>
      </c>
      <c r="C77" s="46">
        <v>43399</v>
      </c>
      <c r="D77" s="46" t="s">
        <v>84</v>
      </c>
      <c r="E77" s="46">
        <v>45940</v>
      </c>
      <c r="F77" s="27" t="str">
        <f>+IF(U77="Abandonne","خارج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77" s="48"/>
      <c r="H77" s="35"/>
      <c r="I77" s="36"/>
      <c r="J77" s="36"/>
      <c r="K77" s="36"/>
      <c r="L77" s="36"/>
      <c r="M77" s="36"/>
      <c r="N77" s="37"/>
      <c r="O77" s="35"/>
      <c r="P77" s="36"/>
      <c r="Q77" s="36"/>
      <c r="R77" s="36"/>
      <c r="S77" s="51">
        <v>45940.885428240741</v>
      </c>
      <c r="T77" s="81">
        <f>SUM(Tableau1[[#This Row],[حقوق الاشتراك]:[جويلية]])</f>
        <v>0</v>
      </c>
      <c r="U77" s="82" t="s">
        <v>136</v>
      </c>
    </row>
    <row r="78" spans="1:21" ht="24" x14ac:dyDescent="0.25">
      <c r="A78" s="32">
        <v>48</v>
      </c>
      <c r="B78" s="45" t="s">
        <v>113</v>
      </c>
      <c r="C78" s="46">
        <v>42974</v>
      </c>
      <c r="D78" s="46" t="s">
        <v>114</v>
      </c>
      <c r="E78" s="46">
        <v>45940</v>
      </c>
      <c r="F78" s="27" t="str">
        <f>+IF(U78="Abandonne","خارج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78" s="48"/>
      <c r="H78" s="35"/>
      <c r="I78" s="36"/>
      <c r="J78" s="36"/>
      <c r="K78" s="36"/>
      <c r="L78" s="36"/>
      <c r="M78" s="36"/>
      <c r="N78" s="37"/>
      <c r="O78" s="35"/>
      <c r="P78" s="36"/>
      <c r="Q78" s="36"/>
      <c r="R78" s="36"/>
      <c r="S78" s="51">
        <v>45940.883159722223</v>
      </c>
      <c r="T78" s="81">
        <f>SUM(Tableau1[[#This Row],[حقوق الاشتراك]:[جويلية]])</f>
        <v>0</v>
      </c>
      <c r="U78" s="82" t="s">
        <v>136</v>
      </c>
    </row>
    <row r="79" spans="1:21" ht="23.25" customHeight="1" x14ac:dyDescent="0.25">
      <c r="A79" s="32">
        <v>47</v>
      </c>
      <c r="B79" s="45" t="s">
        <v>112</v>
      </c>
      <c r="C79" s="46">
        <v>41319</v>
      </c>
      <c r="D79" s="46" t="s">
        <v>39</v>
      </c>
      <c r="E79" s="46">
        <v>45933</v>
      </c>
      <c r="F79" s="27" t="str">
        <f>+IF(U79="Abandonne","خارج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79" s="48"/>
      <c r="H79" s="35"/>
      <c r="I79" s="36"/>
      <c r="J79" s="36"/>
      <c r="K79" s="36"/>
      <c r="L79" s="36"/>
      <c r="M79" s="36"/>
      <c r="N79" s="37"/>
      <c r="O79" s="35"/>
      <c r="P79" s="36"/>
      <c r="Q79" s="36"/>
      <c r="R79" s="36"/>
      <c r="S79" s="51">
        <v>45935.879652777781</v>
      </c>
      <c r="T79" s="81">
        <f>SUM(Tableau1[[#This Row],[حقوق الاشتراك]:[جويلية]])</f>
        <v>0</v>
      </c>
      <c r="U79" s="82" t="s">
        <v>136</v>
      </c>
    </row>
    <row r="80" spans="1:21" ht="23.25" customHeight="1" x14ac:dyDescent="0.25">
      <c r="A80" s="32">
        <v>46</v>
      </c>
      <c r="B80" s="45" t="s">
        <v>111</v>
      </c>
      <c r="C80" s="46">
        <v>41532</v>
      </c>
      <c r="D80" s="46" t="s">
        <v>39</v>
      </c>
      <c r="E80" s="46">
        <v>45933</v>
      </c>
      <c r="F80" s="27" t="str">
        <f>+IF(U80="Abandonne","خارج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80" s="48"/>
      <c r="H80" s="35"/>
      <c r="I80" s="36"/>
      <c r="J80" s="36"/>
      <c r="K80" s="36"/>
      <c r="L80" s="36"/>
      <c r="M80" s="36"/>
      <c r="N80" s="37"/>
      <c r="O80" s="35"/>
      <c r="P80" s="36"/>
      <c r="Q80" s="36"/>
      <c r="R80" s="36"/>
      <c r="S80" s="51">
        <v>45935.878240740742</v>
      </c>
      <c r="T80" s="81">
        <f>SUM(Tableau1[[#This Row],[حقوق الاشتراك]:[جويلية]])</f>
        <v>0</v>
      </c>
      <c r="U80" s="82" t="s">
        <v>136</v>
      </c>
    </row>
    <row r="81" spans="1:21" ht="23.25" customHeight="1" x14ac:dyDescent="0.25">
      <c r="A81" s="32">
        <v>45</v>
      </c>
      <c r="B81" s="45" t="s">
        <v>145</v>
      </c>
      <c r="C81" s="46">
        <v>41932</v>
      </c>
      <c r="D81" s="46" t="s">
        <v>80</v>
      </c>
      <c r="E81" s="46">
        <v>45933</v>
      </c>
      <c r="F81" s="27" t="str">
        <f>+IF(U81="Abandonne","خارج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81" s="48"/>
      <c r="H81" s="35"/>
      <c r="I81" s="36"/>
      <c r="J81" s="36"/>
      <c r="K81" s="36"/>
      <c r="L81" s="36"/>
      <c r="M81" s="36"/>
      <c r="N81" s="37"/>
      <c r="O81" s="35"/>
      <c r="P81" s="36"/>
      <c r="Q81" s="36"/>
      <c r="R81" s="36"/>
      <c r="S81" s="51">
        <v>45935.877534722225</v>
      </c>
      <c r="T81" s="81">
        <f>SUM(Tableau1[[#This Row],[حقوق الاشتراك]:[جويلية]])</f>
        <v>0</v>
      </c>
      <c r="U81" s="82" t="s">
        <v>136</v>
      </c>
    </row>
    <row r="82" spans="1:21" ht="24" x14ac:dyDescent="0.25">
      <c r="A82" s="32">
        <v>44</v>
      </c>
      <c r="B82" s="45" t="s">
        <v>110</v>
      </c>
      <c r="C82" s="46">
        <v>41394</v>
      </c>
      <c r="D82" s="46" t="s">
        <v>37</v>
      </c>
      <c r="E82" s="46">
        <v>45933</v>
      </c>
      <c r="F82" s="27" t="str">
        <f>+IF(U82="Abandonne","خارج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82" s="48"/>
      <c r="H82" s="35"/>
      <c r="I82" s="36"/>
      <c r="J82" s="36"/>
      <c r="K82" s="36"/>
      <c r="L82" s="36"/>
      <c r="M82" s="36"/>
      <c r="N82" s="37"/>
      <c r="O82" s="35"/>
      <c r="P82" s="36"/>
      <c r="Q82" s="36"/>
      <c r="R82" s="36"/>
      <c r="S82" s="51">
        <v>45935.876296296294</v>
      </c>
      <c r="T82" s="81">
        <f>SUM(Tableau1[[#This Row],[حقوق الاشتراك]:[جويلية]])</f>
        <v>0</v>
      </c>
      <c r="U82" s="82" t="s">
        <v>136</v>
      </c>
    </row>
    <row r="83" spans="1:21" ht="24" x14ac:dyDescent="0.25">
      <c r="A83" s="32">
        <v>43</v>
      </c>
      <c r="B83" s="45" t="s">
        <v>109</v>
      </c>
      <c r="C83" s="46">
        <v>43740</v>
      </c>
      <c r="D83" s="46" t="s">
        <v>39</v>
      </c>
      <c r="E83" s="46">
        <v>45933</v>
      </c>
      <c r="F83" s="27" t="str">
        <f>+IF(U83="Abandonne","خارج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U7</v>
      </c>
      <c r="G83" s="48"/>
      <c r="H83" s="35"/>
      <c r="I83" s="36"/>
      <c r="J83" s="36"/>
      <c r="K83" s="36"/>
      <c r="L83" s="36"/>
      <c r="M83" s="36"/>
      <c r="N83" s="37"/>
      <c r="O83" s="35"/>
      <c r="P83" s="36"/>
      <c r="Q83" s="36"/>
      <c r="R83" s="36"/>
      <c r="S83" s="51">
        <v>45935.875173611108</v>
      </c>
      <c r="T83" s="81">
        <f>SUM(Tableau1[[#This Row],[حقوق الاشتراك]:[جويلية]])</f>
        <v>0</v>
      </c>
      <c r="U83" s="82" t="s">
        <v>136</v>
      </c>
    </row>
    <row r="84" spans="1:21" ht="24" x14ac:dyDescent="0.25">
      <c r="A84" s="32">
        <v>42</v>
      </c>
      <c r="B84" s="45" t="s">
        <v>108</v>
      </c>
      <c r="C84" s="46">
        <v>42970</v>
      </c>
      <c r="D84" s="46" t="s">
        <v>39</v>
      </c>
      <c r="E84" s="46">
        <v>45933</v>
      </c>
      <c r="F84" s="27" t="str">
        <f>+IF(U84="Abandonne","خارج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84" s="48"/>
      <c r="H84" s="35"/>
      <c r="I84" s="36"/>
      <c r="J84" s="36"/>
      <c r="K84" s="36"/>
      <c r="L84" s="36"/>
      <c r="M84" s="36"/>
      <c r="N84" s="37"/>
      <c r="O84" s="35"/>
      <c r="P84" s="36"/>
      <c r="Q84" s="36"/>
      <c r="R84" s="36"/>
      <c r="S84" s="51">
        <v>45935.873645833337</v>
      </c>
      <c r="T84" s="81">
        <f>SUM(Tableau1[[#This Row],[حقوق الاشتراك]:[جويلية]])</f>
        <v>0</v>
      </c>
      <c r="U84" s="82" t="s">
        <v>136</v>
      </c>
    </row>
    <row r="85" spans="1:21" ht="24" x14ac:dyDescent="0.25">
      <c r="A85" s="32">
        <v>41</v>
      </c>
      <c r="B85" s="45" t="s">
        <v>107</v>
      </c>
      <c r="C85" s="46">
        <v>41857</v>
      </c>
      <c r="D85" s="46" t="s">
        <v>131</v>
      </c>
      <c r="E85" s="46">
        <v>45933</v>
      </c>
      <c r="F85" s="27" t="str">
        <f>+IF(U85="Abandonne","خارج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85" s="48"/>
      <c r="H85" s="35"/>
      <c r="I85" s="36"/>
      <c r="J85" s="36"/>
      <c r="K85" s="36"/>
      <c r="L85" s="36"/>
      <c r="M85" s="36"/>
      <c r="N85" s="37"/>
      <c r="O85" s="35"/>
      <c r="P85" s="36"/>
      <c r="Q85" s="36"/>
      <c r="R85" s="36"/>
      <c r="S85" s="51">
        <v>45935.872870370367</v>
      </c>
      <c r="T85" s="81">
        <f>SUM(Tableau1[[#This Row],[حقوق الاشتراك]:[جويلية]])</f>
        <v>0</v>
      </c>
      <c r="U85" s="82" t="s">
        <v>136</v>
      </c>
    </row>
    <row r="86" spans="1:21" ht="24" x14ac:dyDescent="0.25">
      <c r="A86" s="32">
        <v>40</v>
      </c>
      <c r="B86" s="45" t="s">
        <v>106</v>
      </c>
      <c r="C86" s="46">
        <v>41478</v>
      </c>
      <c r="D86" s="46" t="s">
        <v>76</v>
      </c>
      <c r="E86" s="46">
        <v>45933</v>
      </c>
      <c r="F86" s="27" t="str">
        <f>+IF(U86="Abandonne","خارج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86" s="48"/>
      <c r="H86" s="35"/>
      <c r="I86" s="36"/>
      <c r="J86" s="36"/>
      <c r="K86" s="36"/>
      <c r="L86" s="36"/>
      <c r="M86" s="36"/>
      <c r="N86" s="37"/>
      <c r="O86" s="35"/>
      <c r="P86" s="36"/>
      <c r="Q86" s="36"/>
      <c r="R86" s="36"/>
      <c r="S86" s="51">
        <v>45935.87190972222</v>
      </c>
      <c r="T86" s="81">
        <f>SUM(Tableau1[[#This Row],[حقوق الاشتراك]:[جويلية]])</f>
        <v>0</v>
      </c>
      <c r="U86" s="82" t="s">
        <v>136</v>
      </c>
    </row>
    <row r="87" spans="1:21" ht="24" x14ac:dyDescent="0.25">
      <c r="A87" s="32">
        <v>39</v>
      </c>
      <c r="B87" s="45" t="s">
        <v>105</v>
      </c>
      <c r="C87" s="46">
        <v>41712</v>
      </c>
      <c r="D87" s="46" t="s">
        <v>84</v>
      </c>
      <c r="E87" s="46">
        <v>45933</v>
      </c>
      <c r="F87" s="27" t="str">
        <f>+IF(U87="Abandonne","خارج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87" s="48"/>
      <c r="H87" s="35"/>
      <c r="I87" s="36"/>
      <c r="J87" s="36"/>
      <c r="K87" s="36"/>
      <c r="L87" s="36"/>
      <c r="M87" s="36"/>
      <c r="N87" s="37"/>
      <c r="O87" s="35"/>
      <c r="P87" s="36"/>
      <c r="Q87" s="36"/>
      <c r="R87" s="36"/>
      <c r="S87" s="51">
        <v>45935.871145833335</v>
      </c>
      <c r="T87" s="81">
        <f>SUM(Tableau1[[#This Row],[حقوق الاشتراك]:[جويلية]])</f>
        <v>0</v>
      </c>
      <c r="U87" s="82" t="s">
        <v>136</v>
      </c>
    </row>
    <row r="88" spans="1:21" ht="24" x14ac:dyDescent="0.25">
      <c r="A88" s="32">
        <v>38</v>
      </c>
      <c r="B88" s="45" t="s">
        <v>104</v>
      </c>
      <c r="C88" s="46">
        <v>41944</v>
      </c>
      <c r="D88" s="46" t="s">
        <v>84</v>
      </c>
      <c r="E88" s="46">
        <v>45933</v>
      </c>
      <c r="F88" s="27" t="str">
        <f>+IF(U88="Abandonne","خارج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88" s="48"/>
      <c r="H88" s="35"/>
      <c r="I88" s="36"/>
      <c r="J88" s="36"/>
      <c r="K88" s="36"/>
      <c r="L88" s="36"/>
      <c r="M88" s="36"/>
      <c r="N88" s="37"/>
      <c r="O88" s="35"/>
      <c r="P88" s="36"/>
      <c r="Q88" s="36"/>
      <c r="R88" s="36"/>
      <c r="S88" s="51">
        <v>45935.870312500003</v>
      </c>
      <c r="T88" s="81">
        <f>SUM(Tableau1[[#This Row],[حقوق الاشتراك]:[جويلية]])</f>
        <v>0</v>
      </c>
      <c r="U88" s="82" t="s">
        <v>136</v>
      </c>
    </row>
    <row r="89" spans="1:21" ht="24" x14ac:dyDescent="0.25">
      <c r="A89" s="32">
        <v>37</v>
      </c>
      <c r="B89" s="45" t="s">
        <v>103</v>
      </c>
      <c r="C89" s="46">
        <v>42218</v>
      </c>
      <c r="D89" s="46" t="s">
        <v>37</v>
      </c>
      <c r="E89" s="46">
        <v>45933</v>
      </c>
      <c r="F89" s="27" t="str">
        <f>+IF(U89="Abandonne","خارج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89" s="48"/>
      <c r="H89" s="35"/>
      <c r="I89" s="36"/>
      <c r="J89" s="36"/>
      <c r="K89" s="36"/>
      <c r="L89" s="36"/>
      <c r="M89" s="36"/>
      <c r="N89" s="37"/>
      <c r="O89" s="35"/>
      <c r="P89" s="36"/>
      <c r="Q89" s="36"/>
      <c r="R89" s="36"/>
      <c r="S89" s="51">
        <v>45935.869525462964</v>
      </c>
      <c r="T89" s="81">
        <f>SUM(Tableau1[[#This Row],[حقوق الاشتراك]:[جويلية]])</f>
        <v>0</v>
      </c>
      <c r="U89" s="82" t="s">
        <v>136</v>
      </c>
    </row>
    <row r="90" spans="1:21" ht="24" x14ac:dyDescent="0.25">
      <c r="A90" s="32">
        <v>36</v>
      </c>
      <c r="B90" s="45" t="s">
        <v>102</v>
      </c>
      <c r="C90" s="46">
        <v>42761</v>
      </c>
      <c r="D90" s="46" t="s">
        <v>76</v>
      </c>
      <c r="E90" s="46">
        <v>45933</v>
      </c>
      <c r="F90" s="27" t="str">
        <f>+IF(U90="Abandonne","خارج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90" s="48"/>
      <c r="H90" s="35"/>
      <c r="I90" s="36"/>
      <c r="J90" s="36"/>
      <c r="K90" s="36"/>
      <c r="L90" s="36"/>
      <c r="M90" s="36"/>
      <c r="N90" s="37"/>
      <c r="O90" s="35"/>
      <c r="P90" s="36"/>
      <c r="Q90" s="36"/>
      <c r="R90" s="36"/>
      <c r="S90" s="51">
        <v>45935.868437500001</v>
      </c>
      <c r="T90" s="81">
        <f>SUM(Tableau1[[#This Row],[حقوق الاشتراك]:[جويلية]])</f>
        <v>0</v>
      </c>
      <c r="U90" s="82" t="s">
        <v>136</v>
      </c>
    </row>
    <row r="91" spans="1:21" ht="24" x14ac:dyDescent="0.25">
      <c r="A91" s="32">
        <v>35</v>
      </c>
      <c r="B91" s="45" t="s">
        <v>100</v>
      </c>
      <c r="C91" s="46">
        <v>42898</v>
      </c>
      <c r="D91" s="46" t="s">
        <v>101</v>
      </c>
      <c r="E91" s="46">
        <v>45919</v>
      </c>
      <c r="F91" s="27" t="str">
        <f>+IF(U91="Abandonne","خارج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91" s="48"/>
      <c r="H91" s="35"/>
      <c r="I91" s="36"/>
      <c r="J91" s="36"/>
      <c r="K91" s="36"/>
      <c r="L91" s="36"/>
      <c r="M91" s="36"/>
      <c r="N91" s="37"/>
      <c r="O91" s="35"/>
      <c r="P91" s="36"/>
      <c r="Q91" s="36"/>
      <c r="R91" s="36"/>
      <c r="S91" s="51">
        <v>45935.867256944446</v>
      </c>
      <c r="T91" s="81">
        <f>SUM(Tableau1[[#This Row],[حقوق الاشتراك]:[جويلية]])</f>
        <v>0</v>
      </c>
      <c r="U91" s="82" t="s">
        <v>136</v>
      </c>
    </row>
    <row r="92" spans="1:21" ht="24" x14ac:dyDescent="0.25">
      <c r="A92" s="32">
        <v>34</v>
      </c>
      <c r="B92" s="45" t="s">
        <v>99</v>
      </c>
      <c r="C92" s="46">
        <v>42826</v>
      </c>
      <c r="D92" s="52" t="s">
        <v>37</v>
      </c>
      <c r="E92" s="46">
        <v>45919</v>
      </c>
      <c r="F92" s="27" t="str">
        <f>+IF(U92="Abandonne","خارج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92" s="48"/>
      <c r="H92" s="35"/>
      <c r="I92" s="36"/>
      <c r="J92" s="36"/>
      <c r="K92" s="36"/>
      <c r="L92" s="36"/>
      <c r="M92" s="36"/>
      <c r="N92" s="37"/>
      <c r="O92" s="35"/>
      <c r="P92" s="36"/>
      <c r="Q92" s="36"/>
      <c r="R92" s="36"/>
      <c r="S92" s="51">
        <v>45935.865717592591</v>
      </c>
      <c r="T92" s="81">
        <f>SUM(Tableau1[[#This Row],[حقوق الاشتراك]:[جويلية]])</f>
        <v>0</v>
      </c>
      <c r="U92" s="82" t="s">
        <v>136</v>
      </c>
    </row>
    <row r="93" spans="1:21" ht="24" x14ac:dyDescent="0.25">
      <c r="A93" s="32">
        <v>33</v>
      </c>
      <c r="B93" s="29" t="s">
        <v>250</v>
      </c>
      <c r="C93" s="46">
        <v>41684</v>
      </c>
      <c r="D93" s="46" t="s">
        <v>144</v>
      </c>
      <c r="E93" s="46">
        <v>45926</v>
      </c>
      <c r="F93" s="27" t="str">
        <f>+IF(U93="Abandonne","خارج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93" s="48"/>
      <c r="H93" s="35"/>
      <c r="I93" s="36"/>
      <c r="J93" s="36"/>
      <c r="K93" s="36"/>
      <c r="L93" s="36"/>
      <c r="M93" s="36"/>
      <c r="N93" s="37"/>
      <c r="O93" s="35"/>
      <c r="P93" s="36"/>
      <c r="Q93" s="36"/>
      <c r="R93" s="36"/>
      <c r="S93" s="51">
        <v>45926.832453703704</v>
      </c>
      <c r="T93" s="81">
        <f>SUM(Tableau1[[#This Row],[حقوق الاشتراك]:[جويلية]])</f>
        <v>0</v>
      </c>
      <c r="U93" s="82" t="s">
        <v>136</v>
      </c>
    </row>
    <row r="94" spans="1:21" ht="24" x14ac:dyDescent="0.25">
      <c r="A94" s="32">
        <v>32</v>
      </c>
      <c r="B94" s="45" t="s">
        <v>95</v>
      </c>
      <c r="C94" s="46">
        <v>41699</v>
      </c>
      <c r="D94" s="46" t="s">
        <v>37</v>
      </c>
      <c r="E94" s="46">
        <v>45919</v>
      </c>
      <c r="F94" s="27" t="str">
        <f>+IF(U94="Abandonne","خارج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94" s="48"/>
      <c r="H94" s="35"/>
      <c r="I94" s="36"/>
      <c r="J94" s="36"/>
      <c r="K94" s="36"/>
      <c r="L94" s="36"/>
      <c r="M94" s="36"/>
      <c r="N94" s="37"/>
      <c r="O94" s="35"/>
      <c r="P94" s="36"/>
      <c r="Q94" s="36"/>
      <c r="R94" s="36"/>
      <c r="S94" s="51">
        <v>45924.538206018522</v>
      </c>
      <c r="T94" s="81">
        <f>SUM(Tableau1[[#This Row],[حقوق الاشتراك]:[جويلية]])</f>
        <v>0</v>
      </c>
      <c r="U94" s="82" t="s">
        <v>136</v>
      </c>
    </row>
    <row r="95" spans="1:21" ht="24" x14ac:dyDescent="0.25">
      <c r="A95" s="32">
        <v>31</v>
      </c>
      <c r="B95" s="45" t="s">
        <v>94</v>
      </c>
      <c r="C95" s="46">
        <v>41726</v>
      </c>
      <c r="D95" s="46" t="s">
        <v>37</v>
      </c>
      <c r="E95" s="46">
        <v>45919</v>
      </c>
      <c r="F95" s="27" t="str">
        <f>+IF(U95="Abandonne","خارج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95" s="48"/>
      <c r="H95" s="35"/>
      <c r="I95" s="36"/>
      <c r="J95" s="36"/>
      <c r="K95" s="36"/>
      <c r="L95" s="36"/>
      <c r="M95" s="36"/>
      <c r="N95" s="37"/>
      <c r="O95" s="35"/>
      <c r="P95" s="36"/>
      <c r="Q95" s="36"/>
      <c r="R95" s="36"/>
      <c r="S95" s="51">
        <v>45924.53665509259</v>
      </c>
      <c r="T95" s="81">
        <f>SUM(Tableau1[[#This Row],[حقوق الاشتراك]:[جويلية]])</f>
        <v>0</v>
      </c>
      <c r="U95" s="82" t="s">
        <v>136</v>
      </c>
    </row>
    <row r="96" spans="1:21" ht="24" x14ac:dyDescent="0.25">
      <c r="A96" s="32">
        <v>30</v>
      </c>
      <c r="B96" s="29" t="s">
        <v>178</v>
      </c>
      <c r="C96" s="46">
        <v>41303</v>
      </c>
      <c r="D96" s="46" t="s">
        <v>37</v>
      </c>
      <c r="E96" s="46">
        <v>45919</v>
      </c>
      <c r="F96" s="27" t="str">
        <f>+IF(U96="Abandonne","خارج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96" s="48"/>
      <c r="H96" s="35"/>
      <c r="I96" s="36"/>
      <c r="J96" s="36"/>
      <c r="K96" s="36"/>
      <c r="L96" s="36"/>
      <c r="M96" s="36"/>
      <c r="N96" s="37"/>
      <c r="O96" s="35"/>
      <c r="P96" s="36"/>
      <c r="Q96" s="36"/>
      <c r="R96" s="36"/>
      <c r="S96" s="51">
        <v>45924.535729166666</v>
      </c>
      <c r="T96" s="81">
        <f>SUM(Tableau1[[#This Row],[حقوق الاشتراك]:[جويلية]])</f>
        <v>0</v>
      </c>
      <c r="U96" s="82" t="s">
        <v>136</v>
      </c>
    </row>
    <row r="97" spans="1:21" ht="24" x14ac:dyDescent="0.25">
      <c r="A97" s="32">
        <v>29</v>
      </c>
      <c r="B97" s="45" t="s">
        <v>163</v>
      </c>
      <c r="C97" s="46">
        <v>41114</v>
      </c>
      <c r="D97" s="46" t="s">
        <v>37</v>
      </c>
      <c r="E97" s="46">
        <v>45919</v>
      </c>
      <c r="F97" s="27" t="str">
        <f>+IF(U97="Abandonne","خارج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U14</v>
      </c>
      <c r="G97" s="48"/>
      <c r="H97" s="35"/>
      <c r="I97" s="36"/>
      <c r="J97" s="36"/>
      <c r="K97" s="36"/>
      <c r="L97" s="36"/>
      <c r="M97" s="36"/>
      <c r="N97" s="37"/>
      <c r="O97" s="35"/>
      <c r="P97" s="36"/>
      <c r="Q97" s="36"/>
      <c r="R97" s="36"/>
      <c r="S97" s="51">
        <v>45924.529872685183</v>
      </c>
      <c r="T97" s="81">
        <f>SUM(Tableau1[[#This Row],[حقوق الاشتراك]:[جويلية]])</f>
        <v>0</v>
      </c>
      <c r="U97" s="82" t="s">
        <v>136</v>
      </c>
    </row>
    <row r="98" spans="1:21" ht="24" x14ac:dyDescent="0.25">
      <c r="A98" s="32">
        <v>28</v>
      </c>
      <c r="B98" s="45" t="s">
        <v>162</v>
      </c>
      <c r="C98" s="46">
        <v>43961</v>
      </c>
      <c r="D98" s="46" t="s">
        <v>76</v>
      </c>
      <c r="E98" s="46">
        <v>45919</v>
      </c>
      <c r="F98" s="27" t="str">
        <f>+IF(U98="Abandonne","خارج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U7</v>
      </c>
      <c r="G98" s="48"/>
      <c r="H98" s="35"/>
      <c r="I98" s="36"/>
      <c r="J98" s="36"/>
      <c r="K98" s="36"/>
      <c r="L98" s="36"/>
      <c r="M98" s="36"/>
      <c r="N98" s="37"/>
      <c r="O98" s="35"/>
      <c r="P98" s="36"/>
      <c r="Q98" s="36"/>
      <c r="R98" s="36"/>
      <c r="S98" s="51">
        <v>45924.527083333334</v>
      </c>
      <c r="T98" s="81">
        <f>SUM(Tableau1[[#This Row],[حقوق الاشتراك]:[جويلية]])</f>
        <v>0</v>
      </c>
      <c r="U98" s="82" t="s">
        <v>136</v>
      </c>
    </row>
    <row r="99" spans="1:21" ht="24" x14ac:dyDescent="0.25">
      <c r="A99" s="32">
        <v>27</v>
      </c>
      <c r="B99" s="45" t="s">
        <v>160</v>
      </c>
      <c r="C99" s="46">
        <v>43824</v>
      </c>
      <c r="D99" s="46" t="s">
        <v>79</v>
      </c>
      <c r="E99" s="46">
        <v>45919</v>
      </c>
      <c r="F99" s="27" t="str">
        <f>+IF(U99="Abandonne","خارج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U7</v>
      </c>
      <c r="G99" s="48"/>
      <c r="H99" s="35"/>
      <c r="I99" s="36"/>
      <c r="J99" s="36"/>
      <c r="K99" s="36"/>
      <c r="L99" s="36"/>
      <c r="M99" s="36"/>
      <c r="N99" s="37"/>
      <c r="O99" s="35"/>
      <c r="P99" s="36"/>
      <c r="Q99" s="36"/>
      <c r="R99" s="36"/>
      <c r="S99" s="51">
        <v>45924.511331018519</v>
      </c>
      <c r="T99" s="81">
        <f>SUM(Tableau1[[#This Row],[حقوق الاشتراك]:[جويلية]])</f>
        <v>0</v>
      </c>
      <c r="U99" s="82" t="s">
        <v>136</v>
      </c>
    </row>
    <row r="100" spans="1:21" ht="24" x14ac:dyDescent="0.25">
      <c r="A100" s="32">
        <v>26</v>
      </c>
      <c r="B100" s="45" t="s">
        <v>161</v>
      </c>
      <c r="C100" s="46">
        <v>42589</v>
      </c>
      <c r="D100" s="46" t="s">
        <v>80</v>
      </c>
      <c r="E100" s="46">
        <v>45924</v>
      </c>
      <c r="F100" s="27" t="str">
        <f>+IF(U100="Abandonne","خارج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100" s="48"/>
      <c r="H100" s="35"/>
      <c r="I100" s="36"/>
      <c r="J100" s="36"/>
      <c r="K100" s="36"/>
      <c r="L100" s="36"/>
      <c r="M100" s="36"/>
      <c r="N100" s="37"/>
      <c r="O100" s="35"/>
      <c r="P100" s="36"/>
      <c r="Q100" s="36"/>
      <c r="R100" s="36"/>
      <c r="S100" s="51">
        <v>45924.507835648146</v>
      </c>
      <c r="T100" s="81">
        <f>SUM(Tableau1[[#This Row],[حقوق الاشتراك]:[جويلية]])</f>
        <v>0</v>
      </c>
      <c r="U100" s="82" t="s">
        <v>136</v>
      </c>
    </row>
    <row r="101" spans="1:21" ht="24" x14ac:dyDescent="0.25">
      <c r="A101" s="32">
        <v>25</v>
      </c>
      <c r="B101" s="45" t="s">
        <v>90</v>
      </c>
      <c r="C101" s="46">
        <v>43057</v>
      </c>
      <c r="D101" s="46" t="s">
        <v>76</v>
      </c>
      <c r="E101" s="46">
        <v>45919</v>
      </c>
      <c r="F101" s="27" t="str">
        <f>+IF(U101="Abandonne","خارج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101" s="48"/>
      <c r="H101" s="35"/>
      <c r="I101" s="36"/>
      <c r="J101" s="36"/>
      <c r="K101" s="36"/>
      <c r="L101" s="36"/>
      <c r="M101" s="36"/>
      <c r="N101" s="37"/>
      <c r="O101" s="35"/>
      <c r="P101" s="36"/>
      <c r="Q101" s="36"/>
      <c r="R101" s="36"/>
      <c r="S101" s="51">
        <v>45919.978819444441</v>
      </c>
      <c r="T101" s="81">
        <f>SUM(Tableau1[[#This Row],[حقوق الاشتراك]:[جويلية]])</f>
        <v>0</v>
      </c>
      <c r="U101" s="82" t="s">
        <v>136</v>
      </c>
    </row>
    <row r="102" spans="1:21" ht="24" x14ac:dyDescent="0.25">
      <c r="A102" s="32">
        <v>24</v>
      </c>
      <c r="B102" s="45" t="s">
        <v>89</v>
      </c>
      <c r="C102" s="46">
        <v>42414</v>
      </c>
      <c r="D102" s="46" t="s">
        <v>76</v>
      </c>
      <c r="E102" s="46">
        <v>45919</v>
      </c>
      <c r="F102" s="27" t="str">
        <f>+IF(U102="Abandonne","خارج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102" s="48"/>
      <c r="H102" s="35"/>
      <c r="I102" s="36"/>
      <c r="J102" s="36"/>
      <c r="K102" s="36"/>
      <c r="L102" s="36"/>
      <c r="M102" s="36"/>
      <c r="N102" s="37"/>
      <c r="O102" s="35"/>
      <c r="P102" s="36"/>
      <c r="Q102" s="36"/>
      <c r="R102" s="36"/>
      <c r="S102" s="51">
        <v>45919.974548611113</v>
      </c>
      <c r="T102" s="81">
        <f>SUM(Tableau1[[#This Row],[حقوق الاشتراك]:[جويلية]])</f>
        <v>0</v>
      </c>
      <c r="U102" s="82" t="s">
        <v>136</v>
      </c>
    </row>
    <row r="103" spans="1:21" ht="24" x14ac:dyDescent="0.35">
      <c r="A103" s="32">
        <v>23</v>
      </c>
      <c r="B103" s="45" t="s">
        <v>142</v>
      </c>
      <c r="C103" s="46">
        <v>43778</v>
      </c>
      <c r="D103" s="46" t="s">
        <v>143</v>
      </c>
      <c r="E103" s="46">
        <v>45919</v>
      </c>
      <c r="F103" s="27" t="str">
        <f>+IF(U103="Abandonne","خارج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U7</v>
      </c>
      <c r="G103" s="48"/>
      <c r="H103" s="35"/>
      <c r="I103" s="36"/>
      <c r="J103" s="36"/>
      <c r="K103" s="36"/>
      <c r="L103" s="36"/>
      <c r="M103" s="36"/>
      <c r="N103" s="118"/>
      <c r="O103" s="35"/>
      <c r="P103" s="36"/>
      <c r="Q103" s="36"/>
      <c r="R103" s="36"/>
      <c r="S103" s="51"/>
      <c r="T103" s="81">
        <f>SUM(Tableau1[[#This Row],[حقوق الاشتراك]:[جويلية]])</f>
        <v>0</v>
      </c>
      <c r="U103" s="82" t="s">
        <v>136</v>
      </c>
    </row>
    <row r="104" spans="1:21" ht="24" x14ac:dyDescent="0.25">
      <c r="A104" s="32">
        <v>22</v>
      </c>
      <c r="B104" s="45" t="s">
        <v>87</v>
      </c>
      <c r="C104" s="46">
        <v>41959</v>
      </c>
      <c r="D104" s="46" t="s">
        <v>88</v>
      </c>
      <c r="E104" s="46">
        <v>45919</v>
      </c>
      <c r="F104" s="27" t="str">
        <f>+IF(U104="Abandonne","خارج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104" s="48"/>
      <c r="H104" s="35"/>
      <c r="I104" s="36"/>
      <c r="J104" s="36"/>
      <c r="K104" s="36"/>
      <c r="L104" s="36"/>
      <c r="M104" s="36"/>
      <c r="N104" s="37"/>
      <c r="O104" s="35"/>
      <c r="P104" s="36"/>
      <c r="Q104" s="36"/>
      <c r="R104" s="36"/>
      <c r="S104" s="51"/>
      <c r="T104" s="81">
        <f>SUM(Tableau1[[#This Row],[حقوق الاشتراك]:[جويلية]])</f>
        <v>0</v>
      </c>
      <c r="U104" s="82" t="s">
        <v>136</v>
      </c>
    </row>
    <row r="105" spans="1:21" ht="24" x14ac:dyDescent="0.25">
      <c r="A105" s="32">
        <v>21</v>
      </c>
      <c r="B105" s="45" t="s">
        <v>93</v>
      </c>
      <c r="C105" s="46">
        <v>43484</v>
      </c>
      <c r="D105" s="46" t="s">
        <v>76</v>
      </c>
      <c r="E105" s="46">
        <v>45919</v>
      </c>
      <c r="F105" s="27" t="str">
        <f>+IF(U105="Abandonne","خارج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U7</v>
      </c>
      <c r="G105" s="48"/>
      <c r="H105" s="35"/>
      <c r="I105" s="36"/>
      <c r="J105" s="36"/>
      <c r="K105" s="36"/>
      <c r="L105" s="36"/>
      <c r="M105" s="36"/>
      <c r="N105" s="37"/>
      <c r="O105" s="35"/>
      <c r="P105" s="36"/>
      <c r="Q105" s="36"/>
      <c r="R105" s="36"/>
      <c r="S105" s="51"/>
      <c r="T105" s="81">
        <f>SUM(Tableau1[[#This Row],[حقوق الاشتراك]:[جويلية]])</f>
        <v>0</v>
      </c>
      <c r="U105" s="82" t="s">
        <v>136</v>
      </c>
    </row>
    <row r="106" spans="1:21" ht="24" x14ac:dyDescent="0.25">
      <c r="A106" s="32">
        <v>20</v>
      </c>
      <c r="B106" s="45" t="s">
        <v>85</v>
      </c>
      <c r="C106" s="46">
        <v>42139</v>
      </c>
      <c r="D106" s="46" t="s">
        <v>86</v>
      </c>
      <c r="E106" s="46">
        <v>45919</v>
      </c>
      <c r="F106" s="27" t="str">
        <f>+IF(U106="Abandonne","خارج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106" s="48"/>
      <c r="H106" s="35"/>
      <c r="I106" s="36"/>
      <c r="J106" s="36"/>
      <c r="K106" s="36"/>
      <c r="L106" s="36"/>
      <c r="M106" s="36"/>
      <c r="N106" s="37"/>
      <c r="O106" s="35"/>
      <c r="P106" s="36"/>
      <c r="Q106" s="36"/>
      <c r="R106" s="36"/>
      <c r="S106" s="51">
        <v>45919.629814814813</v>
      </c>
      <c r="T106" s="81">
        <f>SUM(Tableau1[[#This Row],[حقوق الاشتراك]:[جويلية]])</f>
        <v>0</v>
      </c>
      <c r="U106" s="82" t="s">
        <v>136</v>
      </c>
    </row>
    <row r="107" spans="1:21" ht="24" x14ac:dyDescent="0.25">
      <c r="A107" s="32">
        <v>19</v>
      </c>
      <c r="B107" s="45" t="s">
        <v>83</v>
      </c>
      <c r="C107" s="46">
        <v>42680</v>
      </c>
      <c r="D107" s="46" t="s">
        <v>84</v>
      </c>
      <c r="E107" s="46">
        <v>45917</v>
      </c>
      <c r="F107" s="27" t="str">
        <f>+IF(U107="Abandonne","خارج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107" s="48"/>
      <c r="H107" s="35"/>
      <c r="I107" s="36"/>
      <c r="J107" s="36"/>
      <c r="K107" s="36"/>
      <c r="L107" s="36"/>
      <c r="M107" s="36"/>
      <c r="N107" s="37"/>
      <c r="O107" s="35"/>
      <c r="P107" s="36"/>
      <c r="Q107" s="36"/>
      <c r="R107" s="36"/>
      <c r="S107" s="18"/>
      <c r="T107" s="81">
        <f>SUM(Tableau1[[#This Row],[حقوق الاشتراك]:[جويلية]])</f>
        <v>0</v>
      </c>
      <c r="U107" s="82" t="s">
        <v>136</v>
      </c>
    </row>
    <row r="108" spans="1:21" ht="24" x14ac:dyDescent="0.25">
      <c r="A108" s="32">
        <v>18</v>
      </c>
      <c r="B108" s="29" t="s">
        <v>194</v>
      </c>
      <c r="C108" s="46">
        <v>41699</v>
      </c>
      <c r="D108" s="47" t="s">
        <v>82</v>
      </c>
      <c r="E108" s="46">
        <v>45908</v>
      </c>
      <c r="F108" s="27" t="str">
        <f>+IF(U108="Abandonne","خارج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108" s="48"/>
      <c r="H108" s="35"/>
      <c r="I108" s="36"/>
      <c r="J108" s="36"/>
      <c r="K108" s="36"/>
      <c r="L108" s="36"/>
      <c r="M108" s="36"/>
      <c r="N108" s="37"/>
      <c r="O108" s="35"/>
      <c r="P108" s="36"/>
      <c r="Q108" s="36"/>
      <c r="R108" s="36"/>
      <c r="S108" s="18"/>
      <c r="T108" s="81">
        <f>SUM(Tableau1[[#This Row],[حقوق الاشتراك]:[جويلية]])</f>
        <v>0</v>
      </c>
      <c r="U108" s="82" t="s">
        <v>136</v>
      </c>
    </row>
    <row r="109" spans="1:21" ht="24" x14ac:dyDescent="0.25">
      <c r="A109" s="32">
        <v>17</v>
      </c>
      <c r="B109" s="45" t="s">
        <v>141</v>
      </c>
      <c r="C109" s="46">
        <v>44056</v>
      </c>
      <c r="D109" s="47" t="s">
        <v>81</v>
      </c>
      <c r="E109" s="46">
        <v>45908</v>
      </c>
      <c r="F109" s="27" t="str">
        <f>+IF(U109="Abandonne","خارج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U7</v>
      </c>
      <c r="G109" s="48"/>
      <c r="H109" s="35"/>
      <c r="I109" s="36"/>
      <c r="J109" s="36"/>
      <c r="K109" s="36"/>
      <c r="L109" s="36"/>
      <c r="M109" s="36"/>
      <c r="N109" s="37"/>
      <c r="O109" s="35"/>
      <c r="P109" s="36"/>
      <c r="Q109" s="36"/>
      <c r="R109" s="36"/>
      <c r="S109" s="18"/>
      <c r="T109" s="81">
        <f>SUM(Tableau1[[#This Row],[حقوق الاشتراك]:[جويلية]])</f>
        <v>0</v>
      </c>
      <c r="U109" s="82" t="s">
        <v>136</v>
      </c>
    </row>
    <row r="110" spans="1:21" ht="24" x14ac:dyDescent="0.25">
      <c r="A110" s="32">
        <v>16</v>
      </c>
      <c r="B110" s="45" t="s">
        <v>97</v>
      </c>
      <c r="C110" s="46">
        <v>42536</v>
      </c>
      <c r="D110" s="46" t="s">
        <v>80</v>
      </c>
      <c r="E110" s="46">
        <v>45907</v>
      </c>
      <c r="F110" s="27" t="str">
        <f>+IF(U110="Abandonne","خارج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110" s="48"/>
      <c r="H110" s="35"/>
      <c r="I110" s="36"/>
      <c r="J110" s="36"/>
      <c r="K110" s="36"/>
      <c r="L110" s="36"/>
      <c r="M110" s="36"/>
      <c r="N110" s="37"/>
      <c r="O110" s="35"/>
      <c r="P110" s="36"/>
      <c r="Q110" s="36"/>
      <c r="R110" s="36"/>
      <c r="S110" s="18"/>
      <c r="T110" s="81">
        <f>SUM(Tableau1[[#This Row],[حقوق الاشتراك]:[جويلية]])</f>
        <v>0</v>
      </c>
      <c r="U110" s="82" t="s">
        <v>136</v>
      </c>
    </row>
    <row r="111" spans="1:21" ht="23.25" customHeight="1" x14ac:dyDescent="0.3">
      <c r="A111" s="32">
        <v>15</v>
      </c>
      <c r="B111" s="66" t="s">
        <v>98</v>
      </c>
      <c r="C111" s="70">
        <v>41457</v>
      </c>
      <c r="D111" s="73" t="s">
        <v>79</v>
      </c>
      <c r="E111" s="70">
        <v>45907</v>
      </c>
      <c r="F111" s="27" t="str">
        <f>+IF(U111="Abandonne","خارج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111" s="75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8"/>
      <c r="T111" s="80">
        <f>SUM(Tableau1[[#This Row],[حقوق الاشتراك]:[جويلية]])</f>
        <v>0</v>
      </c>
      <c r="U111" s="82" t="s">
        <v>136</v>
      </c>
    </row>
    <row r="112" spans="1:21" ht="24" x14ac:dyDescent="0.25">
      <c r="A112" s="32">
        <v>14</v>
      </c>
      <c r="B112" s="65" t="s">
        <v>38</v>
      </c>
      <c r="C112" s="69">
        <v>43049</v>
      </c>
      <c r="D112" s="72" t="s">
        <v>76</v>
      </c>
      <c r="E112" s="69">
        <v>45905</v>
      </c>
      <c r="F112" s="27" t="str">
        <f>+IF(U112="Abandonne","خارج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112" s="74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77"/>
      <c r="T112" s="79">
        <f>SUM(Tableau1[[#This Row],[حقوق الاشتراك]:[جويلية]])</f>
        <v>0</v>
      </c>
      <c r="U112" s="82" t="s">
        <v>136</v>
      </c>
    </row>
    <row r="113" spans="1:21" ht="24" x14ac:dyDescent="0.25">
      <c r="A113" s="32">
        <v>13</v>
      </c>
      <c r="B113" s="64" t="s">
        <v>140</v>
      </c>
      <c r="C113" s="68">
        <v>41908</v>
      </c>
      <c r="D113" s="71" t="s">
        <v>92</v>
      </c>
      <c r="E113" s="68">
        <v>45904</v>
      </c>
      <c r="F113" s="27" t="str">
        <f>+IF(U113="Abandonne","خارج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77"/>
      <c r="T113" s="79">
        <f>SUM(Tableau1[[#This Row],[حقوق الاشتراك]:[جويلية]])</f>
        <v>0</v>
      </c>
      <c r="U113" s="82" t="s">
        <v>136</v>
      </c>
    </row>
    <row r="114" spans="1:21" ht="24" x14ac:dyDescent="0.25">
      <c r="A114" s="32">
        <v>12</v>
      </c>
      <c r="B114" s="64" t="s">
        <v>78</v>
      </c>
      <c r="C114" s="68">
        <v>41891</v>
      </c>
      <c r="D114" s="71" t="s">
        <v>37</v>
      </c>
      <c r="E114" s="68">
        <v>45903</v>
      </c>
      <c r="F114" s="27" t="str">
        <f>+IF(U114="Abandonne","خارج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77"/>
      <c r="T114" s="79">
        <f>SUM(Tableau1[[#This Row],[حقوق الاشتراك]:[جويلية]])</f>
        <v>0</v>
      </c>
      <c r="U114" s="82" t="s">
        <v>136</v>
      </c>
    </row>
    <row r="115" spans="1:21" ht="24" x14ac:dyDescent="0.25">
      <c r="A115" s="32">
        <v>11</v>
      </c>
      <c r="B115" s="64" t="s">
        <v>77</v>
      </c>
      <c r="C115" s="67">
        <v>43706</v>
      </c>
      <c r="D115" s="63" t="s">
        <v>80</v>
      </c>
      <c r="E115" s="67">
        <v>45901</v>
      </c>
      <c r="F115" s="27" t="str">
        <f>+IF(U115="Abandonne","خارج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U7</v>
      </c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61"/>
      <c r="T115" s="38">
        <f>SUM(Tableau1[[#This Row],[حقوق الاشتراك]:[جويلية]])</f>
        <v>0</v>
      </c>
      <c r="U115" s="82" t="s">
        <v>136</v>
      </c>
    </row>
    <row r="116" spans="1:21" ht="24" x14ac:dyDescent="0.25">
      <c r="A116" s="32">
        <v>10</v>
      </c>
      <c r="B116" s="64" t="s">
        <v>40</v>
      </c>
      <c r="C116" s="67">
        <v>43451</v>
      </c>
      <c r="D116" s="63" t="s">
        <v>39</v>
      </c>
      <c r="E116" s="67">
        <v>45901</v>
      </c>
      <c r="F116" s="27" t="str">
        <f>+IF(U116="Abandonne","خارج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61"/>
      <c r="T116" s="38">
        <f>SUM(Tableau1[[#This Row],[حقوق الاشتراك]:[جويلية]])</f>
        <v>0</v>
      </c>
      <c r="U116" s="82" t="s">
        <v>136</v>
      </c>
    </row>
    <row r="117" spans="1:21" ht="24" x14ac:dyDescent="0.25">
      <c r="A117" s="32">
        <v>9</v>
      </c>
      <c r="B117" s="64" t="s">
        <v>36</v>
      </c>
      <c r="C117" s="67">
        <v>41965</v>
      </c>
      <c r="D117" s="63" t="s">
        <v>80</v>
      </c>
      <c r="E117" s="67">
        <v>45899</v>
      </c>
      <c r="F117" s="27" t="str">
        <f>+IF(U117="Abandonne","خارج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61"/>
      <c r="T117" s="38">
        <f>SUM(Tableau1[[#This Row],[حقوق الاشتراك]:[جويلية]])</f>
        <v>0</v>
      </c>
      <c r="U117" s="82" t="s">
        <v>136</v>
      </c>
    </row>
    <row r="118" spans="1:21" ht="24" x14ac:dyDescent="0.25">
      <c r="A118" s="32">
        <v>8</v>
      </c>
      <c r="B118" s="63" t="s">
        <v>35</v>
      </c>
      <c r="C118" s="67">
        <v>42531</v>
      </c>
      <c r="D118" s="63" t="s">
        <v>37</v>
      </c>
      <c r="E118" s="67">
        <v>45899</v>
      </c>
      <c r="F118" s="27" t="str">
        <f>+IF(U118="Abandonne","خارج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61"/>
      <c r="T118" s="38">
        <f>SUM(Tableau1[[#This Row],[حقوق الاشتراك]:[جويلية]])</f>
        <v>0</v>
      </c>
      <c r="U118" s="82" t="s">
        <v>136</v>
      </c>
    </row>
    <row r="119" spans="1:21" ht="24" x14ac:dyDescent="0.25">
      <c r="A119" s="32">
        <v>7</v>
      </c>
      <c r="B119" s="62" t="s">
        <v>91</v>
      </c>
      <c r="C119" s="67">
        <v>42103</v>
      </c>
      <c r="D119" s="63" t="s">
        <v>37</v>
      </c>
      <c r="E119" s="67">
        <v>45899</v>
      </c>
      <c r="F119" s="27" t="str">
        <f>+IF(U119="Abandonne","خارج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61"/>
      <c r="T119" s="38">
        <f>SUM(Tableau1[[#This Row],[حقوق الاشتراك]:[جويلية]])</f>
        <v>0</v>
      </c>
      <c r="U119" s="82" t="s">
        <v>136</v>
      </c>
    </row>
    <row r="120" spans="1:21" ht="24" x14ac:dyDescent="0.25">
      <c r="A120" s="32">
        <v>6</v>
      </c>
      <c r="B120" s="62" t="s">
        <v>34</v>
      </c>
      <c r="C120" s="67">
        <v>41331</v>
      </c>
      <c r="D120" s="60" t="s">
        <v>76</v>
      </c>
      <c r="E120" s="67">
        <v>45899</v>
      </c>
      <c r="F120" s="27" t="str">
        <f>+IF(U120="Abandonne","خارج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61"/>
      <c r="T120" s="38">
        <f>SUM(Tableau1[[#This Row],[حقوق الاشتراك]:[جويلية]])</f>
        <v>0</v>
      </c>
      <c r="U120" s="82" t="s">
        <v>136</v>
      </c>
    </row>
    <row r="121" spans="1:21" ht="24" x14ac:dyDescent="0.25">
      <c r="A121" s="32">
        <v>5</v>
      </c>
      <c r="B121" s="62" t="s">
        <v>33</v>
      </c>
      <c r="C121" s="67">
        <v>43005</v>
      </c>
      <c r="D121" s="63" t="s">
        <v>101</v>
      </c>
      <c r="E121" s="67">
        <v>45899</v>
      </c>
      <c r="F121" s="27" t="str">
        <f>+IF(U121="Abandonne","خارج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61"/>
      <c r="T121" s="38">
        <f>SUM(Tableau1[[#This Row],[حقوق الاشتراك]:[جويلية]])</f>
        <v>0</v>
      </c>
      <c r="U121" s="82" t="s">
        <v>136</v>
      </c>
    </row>
    <row r="122" spans="1:21" ht="24" x14ac:dyDescent="0.25">
      <c r="A122" s="32">
        <v>4</v>
      </c>
      <c r="B122" s="62" t="s">
        <v>139</v>
      </c>
      <c r="C122" s="67">
        <v>41911</v>
      </c>
      <c r="D122" s="63" t="s">
        <v>101</v>
      </c>
      <c r="E122" s="67">
        <v>45899</v>
      </c>
      <c r="F122" s="27" t="str">
        <f>+IF(U122="Abandonne","خارج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U13</v>
      </c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61"/>
      <c r="T122" s="38">
        <f>SUM(Tableau1[[#This Row],[حقوق الاشتراك]:[جويلية]])</f>
        <v>0</v>
      </c>
      <c r="U122" s="82" t="s">
        <v>136</v>
      </c>
    </row>
    <row r="123" spans="1:21" ht="24" x14ac:dyDescent="0.25">
      <c r="A123" s="32">
        <v>3</v>
      </c>
      <c r="B123" s="58" t="s">
        <v>31</v>
      </c>
      <c r="C123" s="59">
        <v>43195</v>
      </c>
      <c r="D123" s="60" t="s">
        <v>39</v>
      </c>
      <c r="E123" s="59">
        <v>45899</v>
      </c>
      <c r="F123" s="27" t="str">
        <f>+IF(U123="Abandonne","خارج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61"/>
      <c r="T123" s="38">
        <f>SUM(Tableau1[[#This Row],[حقوق الاشتراك]:[جويلية]])</f>
        <v>0</v>
      </c>
      <c r="U123" s="82" t="s">
        <v>136</v>
      </c>
    </row>
    <row r="124" spans="1:21" ht="24" x14ac:dyDescent="0.25">
      <c r="A124" s="32">
        <v>2</v>
      </c>
      <c r="B124" s="58" t="s">
        <v>138</v>
      </c>
      <c r="C124" s="59">
        <v>42142</v>
      </c>
      <c r="D124" s="60" t="s">
        <v>76</v>
      </c>
      <c r="E124" s="59">
        <v>45899</v>
      </c>
      <c r="F124" s="27" t="str">
        <f>+IF(U124="Abandonne","خارج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U11</v>
      </c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61"/>
      <c r="T124" s="38">
        <f>SUM(Tableau1[[#This Row],[حقوق الاشتراك]:[جويلية]])</f>
        <v>0</v>
      </c>
      <c r="U124" s="82" t="s">
        <v>136</v>
      </c>
    </row>
    <row r="125" spans="1:21" ht="24" x14ac:dyDescent="0.25">
      <c r="A125" s="32">
        <v>1</v>
      </c>
      <c r="B125" s="26" t="s">
        <v>30</v>
      </c>
      <c r="C125" s="14">
        <v>43123</v>
      </c>
      <c r="D125" s="29" t="s">
        <v>84</v>
      </c>
      <c r="E125" s="14">
        <v>45899</v>
      </c>
      <c r="F125" s="27" t="str">
        <f>+IF(U125="Abandonne","خارج الفريق",IF(AND(YEAR(Tableau1[[#This Row],[تاريخ الميلاد]])&gt;=parametre!$B$3,YEAR(Tableau1[[#This Row],[تاريخ الميلاد]])&lt;=parametre!$C$3),parametre!$A$3,IF(AND(YEAR(Tableau1[[#This Row],[تاريخ الميلاد]])&gt;=parametre!$B$4,YEAR(Tableau1[[#This Row],[تاريخ الميلاد]])&lt;=parametre!$C$4),parametre!$A$4,IF(AND(YEAR(Tableau1[[#This Row],[تاريخ الميلاد]])&gt;=parametre!$B$5,YEAR(Tableau1[[#This Row],[تاريخ الميلاد]])&lt;=parametre!$C$5),parametre!$A$5,IF(AND(YEAR(Tableau1[[#This Row],[تاريخ الميلاد]])&gt;=parametre!$B$6,YEAR(Tableau1[[#This Row],[تاريخ الميلاد]])&lt;=parametre!$C$6),parametre!$A$6,IF(AND(YEAR(Tableau1[[#This Row],[تاريخ الميلاد]])&gt;=parametre!$B$8,YEAR(Tableau1[[#This Row],[تاريخ الميلاد]])&lt;=parametre!$C$8),parametre!$A$8,IF(AND(YEAR(Tableau1[[#This Row],[تاريخ الميلاد]])&gt;=parametre!$B$7,YEAR(Tableau1[[#This Row],[تاريخ الميلاد]])&lt;=parametre!$C$7),parametre!$A$7,"")))))))</f>
        <v>U9</v>
      </c>
      <c r="G125" s="33"/>
      <c r="H125" s="33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61"/>
      <c r="T125" s="38">
        <f>SUM(Tableau1[[#This Row],[حقوق الاشتراك]:[جويلية]])</f>
        <v>0</v>
      </c>
      <c r="U125" s="82" t="s">
        <v>136</v>
      </c>
    </row>
    <row r="126" spans="1:21" ht="21" x14ac:dyDescent="0.35">
      <c r="A126" s="88" t="s">
        <v>74</v>
      </c>
      <c r="B126" s="88">
        <f>SUBTOTAL(103,Tableau1[الاسم واللقب])</f>
        <v>119</v>
      </c>
      <c r="C126" s="88">
        <f>SUBTOTAL(103,Tableau1[تاريخ الميلاد])</f>
        <v>117</v>
      </c>
      <c r="D126" s="88">
        <f>SUBTOTAL(103,Tableau1[مكان الميلاد])</f>
        <v>112</v>
      </c>
      <c r="E126" s="88">
        <f>SUBTOTAL(103,Tableau1[تاريخ التسجيل])</f>
        <v>119</v>
      </c>
      <c r="F126" s="88"/>
      <c r="G126" s="89">
        <f>SUBTOTAL(109,Tableau1[حقوق الاشتراك])</f>
        <v>0</v>
      </c>
      <c r="H126" s="89">
        <f>SUBTOTAL(109,Tableau1[سبتمبر])</f>
        <v>0</v>
      </c>
      <c r="I126" s="89">
        <f>SUBTOTAL(109,Tableau1[أكتوبر])</f>
        <v>0</v>
      </c>
      <c r="J126" s="89">
        <f>SUBTOTAL(109,Tableau1[نوفمبر])</f>
        <v>0</v>
      </c>
      <c r="K126" s="89">
        <f>SUBTOTAL(109,Tableau1[ديسمبر])</f>
        <v>0</v>
      </c>
      <c r="L126" s="89">
        <f>SUBTOTAL(109,Tableau1[جانفي])</f>
        <v>0</v>
      </c>
      <c r="M126" s="89">
        <f>SUBTOTAL(109,Tableau1[فيفري])</f>
        <v>0</v>
      </c>
      <c r="N126" s="89">
        <f>SUBTOTAL(109,Tableau1[مارس])</f>
        <v>0</v>
      </c>
      <c r="O126" s="89">
        <f>SUBTOTAL(109,Tableau1[افريل])</f>
        <v>0</v>
      </c>
      <c r="P126" s="89">
        <f>SUBTOTAL(109,Tableau1[[ماي ]])</f>
        <v>0</v>
      </c>
      <c r="Q126" s="89">
        <f>SUBTOTAL(109,Tableau1[جوان])</f>
        <v>0</v>
      </c>
      <c r="R126" s="89">
        <f>SUBTOTAL(109,Tableau1[جويلية])</f>
        <v>0</v>
      </c>
      <c r="S126" s="89"/>
      <c r="T126" s="89">
        <f>SUBTOTAL(109,Tableau1[Total])</f>
        <v>8000</v>
      </c>
      <c r="U126" s="88"/>
    </row>
    <row r="127" spans="1:21" ht="24" x14ac:dyDescent="0.4">
      <c r="A127" s="17"/>
      <c r="E127" s="17"/>
      <c r="F127" s="19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1"/>
    </row>
    <row r="128" spans="1:21" x14ac:dyDescent="0.25">
      <c r="A128" s="17"/>
      <c r="B128" s="17"/>
      <c r="C128" s="17"/>
      <c r="D128" s="17"/>
      <c r="E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</row>
    <row r="129" spans="1:20" x14ac:dyDescent="0.25">
      <c r="A129" s="17"/>
      <c r="B129" s="17"/>
      <c r="C129" s="17"/>
      <c r="D129" s="17"/>
      <c r="E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</row>
    <row r="130" spans="1:20" x14ac:dyDescent="0.25">
      <c r="A130" s="17"/>
      <c r="B130" s="17"/>
      <c r="C130" s="17"/>
      <c r="D130" s="17"/>
      <c r="E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</row>
    <row r="131" spans="1:20" x14ac:dyDescent="0.25">
      <c r="A131" s="17"/>
      <c r="B131" s="17"/>
      <c r="C131" s="17"/>
      <c r="D131" s="17"/>
      <c r="E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</row>
    <row r="132" spans="1:20" x14ac:dyDescent="0.25">
      <c r="A132" s="17"/>
      <c r="B132" s="17"/>
      <c r="C132" s="17"/>
      <c r="D132" s="17"/>
      <c r="E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</row>
    <row r="133" spans="1:20" x14ac:dyDescent="0.25">
      <c r="A133" s="17"/>
      <c r="B133" s="17"/>
      <c r="C133" s="17"/>
      <c r="D133" s="17"/>
      <c r="E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</row>
    <row r="134" spans="1:20" s="28" customFormat="1" ht="21" x14ac:dyDescent="0.35">
      <c r="A134" s="17"/>
      <c r="B134" s="17"/>
      <c r="C134" s="17"/>
      <c r="D134" s="17"/>
      <c r="E134" s="17"/>
      <c r="F134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/>
    </row>
    <row r="135" spans="1:20" x14ac:dyDescent="0.25">
      <c r="A135" s="17"/>
      <c r="B135" s="17"/>
      <c r="C135" s="17"/>
      <c r="D135" s="17"/>
      <c r="E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</row>
    <row r="136" spans="1:20" x14ac:dyDescent="0.25">
      <c r="A136" s="17"/>
      <c r="B136" s="17"/>
      <c r="C136" s="17"/>
      <c r="D136" s="17"/>
      <c r="E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</row>
    <row r="137" spans="1:20" x14ac:dyDescent="0.25">
      <c r="A137" s="17"/>
      <c r="B137" s="17"/>
      <c r="C137" s="17"/>
      <c r="D137" s="17"/>
      <c r="E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</row>
    <row r="138" spans="1:20" x14ac:dyDescent="0.25">
      <c r="A138" s="17"/>
      <c r="B138" s="17"/>
      <c r="C138" s="17"/>
      <c r="D138" s="17"/>
      <c r="E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</row>
    <row r="139" spans="1:20" x14ac:dyDescent="0.25">
      <c r="A139" s="17"/>
      <c r="B139" s="17"/>
      <c r="C139" s="17"/>
      <c r="D139" s="17"/>
      <c r="E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</row>
    <row r="140" spans="1:20" x14ac:dyDescent="0.25">
      <c r="A140" s="17"/>
      <c r="B140" s="17"/>
      <c r="C140" s="17"/>
      <c r="D140" s="17"/>
      <c r="E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</row>
    <row r="141" spans="1:20" x14ac:dyDescent="0.25">
      <c r="A141" s="17"/>
      <c r="B141" s="17"/>
      <c r="C141" s="17"/>
      <c r="D141" s="17"/>
      <c r="E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</row>
    <row r="142" spans="1:20" x14ac:dyDescent="0.25">
      <c r="A142" s="17"/>
      <c r="B142" s="17"/>
      <c r="C142" s="17"/>
      <c r="D142" s="17"/>
      <c r="E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</row>
    <row r="143" spans="1:20" x14ac:dyDescent="0.25">
      <c r="A143" s="17"/>
      <c r="B143" s="17"/>
      <c r="C143" s="17"/>
      <c r="D143" s="17"/>
      <c r="E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</row>
    <row r="144" spans="1:20" x14ac:dyDescent="0.25">
      <c r="A144" s="17"/>
      <c r="B144" s="17"/>
      <c r="C144" s="17"/>
      <c r="D144" s="17"/>
      <c r="E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</row>
    <row r="145" spans="1:19" x14ac:dyDescent="0.25">
      <c r="A145" s="17"/>
      <c r="B145" s="17"/>
      <c r="C145" s="17"/>
      <c r="D145" s="17"/>
      <c r="E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</row>
    <row r="146" spans="1:19" x14ac:dyDescent="0.25">
      <c r="A146" s="17"/>
      <c r="B146" s="17"/>
      <c r="C146" s="17"/>
      <c r="D146" s="17"/>
      <c r="E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</row>
    <row r="147" spans="1:19" x14ac:dyDescent="0.25">
      <c r="A147" s="17"/>
      <c r="B147" s="17"/>
      <c r="C147" s="17"/>
      <c r="D147" s="17"/>
      <c r="E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</row>
    <row r="148" spans="1:19" x14ac:dyDescent="0.25">
      <c r="A148" s="17"/>
      <c r="B148" s="17"/>
      <c r="C148" s="17"/>
      <c r="D148" s="17"/>
      <c r="E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</row>
    <row r="149" spans="1:19" x14ac:dyDescent="0.25">
      <c r="A149" s="17"/>
      <c r="B149" s="17"/>
      <c r="C149" s="17"/>
      <c r="D149" s="17"/>
      <c r="E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</row>
    <row r="150" spans="1:19" x14ac:dyDescent="0.25">
      <c r="A150" s="17"/>
      <c r="B150" s="17"/>
      <c r="C150" s="17"/>
      <c r="D150" s="17"/>
      <c r="E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</row>
    <row r="151" spans="1:19" x14ac:dyDescent="0.25">
      <c r="A151" s="17"/>
      <c r="B151" s="17"/>
      <c r="C151" s="17"/>
      <c r="D151" s="17"/>
      <c r="E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</row>
    <row r="152" spans="1:19" x14ac:dyDescent="0.25">
      <c r="A152" s="17"/>
      <c r="B152" s="17"/>
      <c r="C152" s="17"/>
      <c r="D152" s="17"/>
      <c r="E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</row>
    <row r="153" spans="1:19" x14ac:dyDescent="0.25">
      <c r="A153" s="17"/>
      <c r="B153" s="17"/>
      <c r="C153" s="17"/>
      <c r="D153" s="17"/>
      <c r="E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</row>
    <row r="154" spans="1:19" x14ac:dyDescent="0.25">
      <c r="A154" s="17"/>
      <c r="B154" s="17"/>
      <c r="C154" s="17"/>
      <c r="D154" s="17"/>
      <c r="E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</row>
    <row r="155" spans="1:19" x14ac:dyDescent="0.25">
      <c r="A155" s="17"/>
      <c r="B155" s="17"/>
      <c r="C155" s="17"/>
      <c r="D155" s="17"/>
      <c r="E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</row>
    <row r="156" spans="1:19" x14ac:dyDescent="0.25">
      <c r="A156" s="17"/>
      <c r="B156" s="17"/>
      <c r="C156" s="17"/>
      <c r="D156" s="17"/>
      <c r="E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</row>
    <row r="157" spans="1:19" x14ac:dyDescent="0.25">
      <c r="A157" s="17"/>
      <c r="B157" s="17"/>
      <c r="C157" s="17"/>
      <c r="D157" s="17"/>
      <c r="E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</row>
    <row r="158" spans="1:19" x14ac:dyDescent="0.25">
      <c r="A158" s="17"/>
      <c r="B158" s="17"/>
      <c r="C158" s="17"/>
      <c r="D158" s="17"/>
      <c r="E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</row>
    <row r="159" spans="1:19" x14ac:dyDescent="0.25">
      <c r="A159" s="17"/>
      <c r="B159" s="17"/>
      <c r="C159" s="17"/>
      <c r="D159" s="17"/>
      <c r="E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</row>
    <row r="160" spans="1:19" x14ac:dyDescent="0.25">
      <c r="A160" s="17"/>
      <c r="B160" s="17"/>
      <c r="C160" s="17"/>
      <c r="D160" s="17"/>
      <c r="E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</row>
    <row r="161" spans="1:19" x14ac:dyDescent="0.25">
      <c r="A161" s="17"/>
      <c r="B161" s="17"/>
      <c r="C161" s="17"/>
      <c r="D161" s="17"/>
      <c r="E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</row>
    <row r="162" spans="1:19" x14ac:dyDescent="0.25">
      <c r="A162" s="17"/>
      <c r="B162" s="17"/>
      <c r="C162" s="17"/>
      <c r="D162" s="17"/>
      <c r="E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</row>
    <row r="163" spans="1:19" x14ac:dyDescent="0.25">
      <c r="A163" s="17"/>
      <c r="B163" s="17"/>
      <c r="C163" s="17"/>
      <c r="D163" s="17"/>
      <c r="E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</row>
    <row r="164" spans="1:19" x14ac:dyDescent="0.25">
      <c r="A164" s="17"/>
      <c r="B164" s="17"/>
      <c r="C164" s="17"/>
      <c r="D164" s="17"/>
      <c r="E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</row>
    <row r="165" spans="1:19" x14ac:dyDescent="0.25">
      <c r="A165" s="17"/>
      <c r="B165" s="17"/>
      <c r="C165" s="17"/>
      <c r="D165" s="17"/>
      <c r="E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</row>
    <row r="166" spans="1:19" x14ac:dyDescent="0.25">
      <c r="A166" s="17"/>
      <c r="B166" s="17"/>
      <c r="C166" s="17"/>
      <c r="D166" s="17"/>
      <c r="E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</row>
    <row r="167" spans="1:19" x14ac:dyDescent="0.25">
      <c r="A167" s="17"/>
      <c r="B167" s="17"/>
      <c r="C167" s="17"/>
      <c r="D167" s="17"/>
      <c r="E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</row>
    <row r="168" spans="1:19" x14ac:dyDescent="0.25">
      <c r="A168" s="17"/>
      <c r="B168" s="17"/>
      <c r="C168" s="17"/>
      <c r="D168" s="17"/>
      <c r="E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</row>
    <row r="169" spans="1:19" x14ac:dyDescent="0.25">
      <c r="A169" s="17"/>
      <c r="B169" s="17"/>
      <c r="C169" s="17"/>
      <c r="D169" s="17"/>
      <c r="E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</row>
    <row r="170" spans="1:19" x14ac:dyDescent="0.25">
      <c r="A170" s="17"/>
      <c r="B170" s="17"/>
      <c r="C170" s="17"/>
      <c r="D170" s="17"/>
      <c r="E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</row>
    <row r="171" spans="1:19" x14ac:dyDescent="0.25">
      <c r="A171" s="17"/>
      <c r="B171" s="17"/>
      <c r="C171" s="17"/>
      <c r="D171" s="17"/>
      <c r="E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</row>
    <row r="172" spans="1:19" x14ac:dyDescent="0.25">
      <c r="A172" s="17"/>
      <c r="B172" s="17"/>
      <c r="C172" s="17"/>
      <c r="D172" s="17"/>
      <c r="E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</row>
    <row r="173" spans="1:19" x14ac:dyDescent="0.25">
      <c r="A173" s="17"/>
      <c r="B173" s="17"/>
      <c r="C173" s="17"/>
      <c r="D173" s="17"/>
      <c r="E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</row>
    <row r="174" spans="1:19" x14ac:dyDescent="0.25">
      <c r="A174" s="17"/>
      <c r="B174" s="17"/>
      <c r="C174" s="17"/>
      <c r="D174" s="17"/>
      <c r="E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</row>
    <row r="175" spans="1:19" x14ac:dyDescent="0.25">
      <c r="A175" s="17"/>
      <c r="B175" s="17"/>
      <c r="C175" s="17"/>
      <c r="D175" s="17"/>
      <c r="E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</row>
    <row r="176" spans="1:19" x14ac:dyDescent="0.25">
      <c r="A176" s="17"/>
      <c r="B176" s="17"/>
      <c r="C176" s="17"/>
      <c r="D176" s="17"/>
      <c r="E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</row>
    <row r="177" spans="1:19" x14ac:dyDescent="0.25">
      <c r="A177" s="17"/>
      <c r="B177" s="17"/>
      <c r="C177" s="17"/>
      <c r="D177" s="17"/>
      <c r="E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</row>
    <row r="178" spans="1:19" x14ac:dyDescent="0.25">
      <c r="A178" s="17"/>
      <c r="B178" s="17"/>
      <c r="C178" s="17"/>
      <c r="D178" s="17"/>
      <c r="E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</row>
    <row r="179" spans="1:19" x14ac:dyDescent="0.25">
      <c r="A179" s="17"/>
      <c r="B179" s="17"/>
      <c r="C179" s="17"/>
      <c r="D179" s="17"/>
      <c r="E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</row>
    <row r="180" spans="1:19" x14ac:dyDescent="0.25">
      <c r="A180" s="17"/>
      <c r="B180" s="17"/>
      <c r="C180" s="17"/>
      <c r="D180" s="17"/>
      <c r="E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</row>
    <row r="181" spans="1:19" x14ac:dyDescent="0.25">
      <c r="A181" s="17"/>
      <c r="B181" s="17"/>
      <c r="C181" s="17"/>
      <c r="D181" s="17"/>
      <c r="E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</row>
    <row r="182" spans="1:19" x14ac:dyDescent="0.25">
      <c r="A182" s="17"/>
      <c r="B182" s="17"/>
      <c r="C182" s="17"/>
      <c r="D182" s="17"/>
      <c r="E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</row>
    <row r="183" spans="1:19" x14ac:dyDescent="0.25">
      <c r="A183" s="17"/>
      <c r="B183" s="17"/>
      <c r="C183" s="17"/>
      <c r="D183" s="17"/>
      <c r="E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</row>
    <row r="184" spans="1:19" x14ac:dyDescent="0.25">
      <c r="A184" s="17"/>
      <c r="B184" s="17"/>
      <c r="C184" s="17"/>
      <c r="D184" s="17"/>
      <c r="E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</row>
    <row r="185" spans="1:19" x14ac:dyDescent="0.25">
      <c r="A185" s="17"/>
      <c r="B185" s="17"/>
      <c r="C185" s="17"/>
      <c r="D185" s="17"/>
      <c r="E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</row>
    <row r="186" spans="1:19" x14ac:dyDescent="0.25">
      <c r="A186" s="17"/>
      <c r="B186" s="17"/>
      <c r="C186" s="17"/>
      <c r="D186" s="17"/>
      <c r="E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</row>
    <row r="187" spans="1:19" x14ac:dyDescent="0.25">
      <c r="A187" s="17"/>
      <c r="B187" s="17"/>
      <c r="C187" s="17"/>
      <c r="D187" s="17"/>
      <c r="E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</row>
    <row r="188" spans="1:19" x14ac:dyDescent="0.25">
      <c r="A188" s="17"/>
      <c r="B188" s="17"/>
      <c r="C188" s="17"/>
      <c r="D188" s="17"/>
      <c r="E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</row>
    <row r="189" spans="1:19" x14ac:dyDescent="0.25">
      <c r="A189" s="17"/>
      <c r="B189" s="17"/>
      <c r="C189" s="17"/>
      <c r="D189" s="17"/>
      <c r="E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</row>
    <row r="190" spans="1:19" x14ac:dyDescent="0.25">
      <c r="A190" s="17"/>
      <c r="B190" s="17"/>
      <c r="C190" s="17"/>
      <c r="D190" s="17"/>
      <c r="E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</row>
    <row r="191" spans="1:19" x14ac:dyDescent="0.25">
      <c r="A191" s="17"/>
      <c r="B191" s="17"/>
      <c r="C191" s="17"/>
      <c r="D191" s="17"/>
      <c r="E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</row>
    <row r="192" spans="1:19" x14ac:dyDescent="0.25">
      <c r="A192" s="17"/>
      <c r="B192" s="17"/>
      <c r="C192" s="17"/>
      <c r="D192" s="17"/>
      <c r="E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</row>
    <row r="193" spans="1:19" x14ac:dyDescent="0.25">
      <c r="A193" s="17"/>
      <c r="B193" s="17"/>
      <c r="C193" s="17"/>
      <c r="D193" s="17"/>
      <c r="E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</row>
    <row r="194" spans="1:19" x14ac:dyDescent="0.25">
      <c r="A194" s="17"/>
      <c r="B194" s="17"/>
      <c r="C194" s="17"/>
      <c r="D194" s="17"/>
      <c r="E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</row>
    <row r="195" spans="1:19" x14ac:dyDescent="0.25">
      <c r="A195" s="17"/>
      <c r="B195" s="17"/>
      <c r="C195" s="17"/>
      <c r="D195" s="17"/>
      <c r="E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</row>
    <row r="196" spans="1:19" x14ac:dyDescent="0.25">
      <c r="A196" s="17"/>
      <c r="B196" s="17"/>
      <c r="C196" s="17"/>
      <c r="D196" s="17"/>
      <c r="E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</row>
    <row r="197" spans="1:19" x14ac:dyDescent="0.25">
      <c r="A197" s="17"/>
      <c r="B197" s="17"/>
      <c r="C197" s="17"/>
      <c r="D197" s="17"/>
      <c r="E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</row>
    <row r="198" spans="1:19" x14ac:dyDescent="0.25">
      <c r="A198" s="17"/>
      <c r="B198" s="17"/>
      <c r="C198" s="17"/>
      <c r="D198" s="17"/>
      <c r="E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</row>
    <row r="199" spans="1:19" x14ac:dyDescent="0.25">
      <c r="A199" s="17"/>
      <c r="B199" s="17"/>
      <c r="C199" s="17"/>
      <c r="D199" s="17"/>
      <c r="E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</row>
    <row r="200" spans="1:19" x14ac:dyDescent="0.25">
      <c r="A200" s="17"/>
      <c r="B200" s="17"/>
      <c r="C200" s="17"/>
      <c r="D200" s="17"/>
      <c r="E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</row>
    <row r="201" spans="1:19" x14ac:dyDescent="0.25">
      <c r="A201" s="17"/>
      <c r="B201" s="17"/>
      <c r="C201" s="17"/>
      <c r="D201" s="17"/>
      <c r="E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</row>
    <row r="202" spans="1:19" x14ac:dyDescent="0.25">
      <c r="A202" s="17"/>
      <c r="B202" s="17"/>
      <c r="C202" s="17"/>
      <c r="D202" s="17"/>
      <c r="E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</row>
    <row r="203" spans="1:19" x14ac:dyDescent="0.25">
      <c r="A203" s="17"/>
      <c r="B203" s="17"/>
      <c r="C203" s="17"/>
      <c r="D203" s="17"/>
      <c r="E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</row>
    <row r="204" spans="1:19" x14ac:dyDescent="0.25">
      <c r="A204" s="17"/>
      <c r="B204" s="17"/>
      <c r="C204" s="17"/>
      <c r="D204" s="17"/>
      <c r="E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</row>
    <row r="205" spans="1:19" x14ac:dyDescent="0.25">
      <c r="A205" s="17"/>
      <c r="B205" s="17"/>
      <c r="C205" s="17"/>
      <c r="D205" s="17"/>
      <c r="E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</row>
    <row r="206" spans="1:19" x14ac:dyDescent="0.25">
      <c r="A206" s="17"/>
      <c r="B206" s="17"/>
      <c r="C206" s="17"/>
      <c r="D206" s="17"/>
      <c r="E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</row>
    <row r="207" spans="1:19" x14ac:dyDescent="0.25">
      <c r="A207" s="17"/>
      <c r="B207" s="17"/>
      <c r="C207" s="17"/>
      <c r="D207" s="17"/>
      <c r="E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</row>
    <row r="208" spans="1:19" x14ac:dyDescent="0.25">
      <c r="A208" s="17"/>
      <c r="B208" s="17"/>
      <c r="C208" s="17"/>
      <c r="D208" s="17"/>
      <c r="E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</row>
    <row r="209" spans="1:19" x14ac:dyDescent="0.25">
      <c r="A209" s="17"/>
      <c r="B209" s="17"/>
      <c r="C209" s="17"/>
      <c r="D209" s="17"/>
      <c r="E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</row>
    <row r="210" spans="1:19" x14ac:dyDescent="0.25">
      <c r="A210" s="17"/>
      <c r="B210" s="17"/>
      <c r="C210" s="17"/>
      <c r="D210" s="17"/>
      <c r="E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</row>
    <row r="211" spans="1:19" x14ac:dyDescent="0.25">
      <c r="A211" s="17"/>
      <c r="B211" s="17"/>
      <c r="C211" s="17"/>
      <c r="D211" s="17"/>
      <c r="E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</row>
    <row r="212" spans="1:19" x14ac:dyDescent="0.25">
      <c r="A212" s="17"/>
      <c r="B212" s="17"/>
      <c r="C212" s="17"/>
      <c r="D212" s="17"/>
      <c r="E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</row>
    <row r="213" spans="1:19" x14ac:dyDescent="0.25">
      <c r="A213" s="17"/>
      <c r="B213" s="17"/>
      <c r="C213" s="17"/>
      <c r="D213" s="17"/>
      <c r="E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</row>
    <row r="214" spans="1:19" x14ac:dyDescent="0.25">
      <c r="A214" s="17"/>
      <c r="B214" s="17"/>
      <c r="C214" s="17"/>
      <c r="D214" s="17"/>
      <c r="E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</row>
    <row r="215" spans="1:19" x14ac:dyDescent="0.25">
      <c r="A215" s="17"/>
      <c r="B215" s="17"/>
      <c r="C215" s="17"/>
      <c r="D215" s="17"/>
      <c r="E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</row>
    <row r="216" spans="1:19" x14ac:dyDescent="0.25">
      <c r="A216" s="17"/>
      <c r="B216" s="17"/>
      <c r="C216" s="17"/>
      <c r="D216" s="17"/>
      <c r="E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</row>
    <row r="217" spans="1:19" x14ac:dyDescent="0.25">
      <c r="A217" s="17"/>
      <c r="B217" s="17"/>
      <c r="C217" s="17"/>
      <c r="D217" s="17"/>
      <c r="E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</row>
    <row r="218" spans="1:19" x14ac:dyDescent="0.25">
      <c r="A218" s="17"/>
      <c r="B218" s="17"/>
      <c r="C218" s="17"/>
      <c r="D218" s="17"/>
      <c r="E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</row>
    <row r="219" spans="1:19" x14ac:dyDescent="0.25">
      <c r="A219" s="17"/>
      <c r="B219" s="17"/>
      <c r="C219" s="17"/>
      <c r="D219" s="17"/>
      <c r="E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</row>
    <row r="220" spans="1:19" x14ac:dyDescent="0.25">
      <c r="A220" s="17"/>
      <c r="B220" s="17"/>
      <c r="C220" s="17"/>
      <c r="D220" s="17"/>
      <c r="E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</row>
    <row r="221" spans="1:19" x14ac:dyDescent="0.25">
      <c r="A221" s="17"/>
      <c r="B221" s="17"/>
      <c r="C221" s="17"/>
      <c r="D221" s="17"/>
      <c r="E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</row>
    <row r="222" spans="1:19" x14ac:dyDescent="0.25">
      <c r="A222" s="17"/>
      <c r="B222" s="17"/>
      <c r="C222" s="17"/>
      <c r="D222" s="17"/>
      <c r="E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</row>
    <row r="223" spans="1:19" x14ac:dyDescent="0.25">
      <c r="A223" s="17"/>
      <c r="B223" s="17"/>
      <c r="C223" s="17"/>
      <c r="D223" s="17"/>
      <c r="E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</row>
    <row r="224" spans="1:19" x14ac:dyDescent="0.25">
      <c r="A224" s="17"/>
      <c r="B224" s="17"/>
      <c r="C224" s="17"/>
      <c r="D224" s="17"/>
      <c r="E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</row>
    <row r="225" spans="1:19" x14ac:dyDescent="0.25">
      <c r="A225" s="17"/>
      <c r="B225" s="17"/>
      <c r="C225" s="17"/>
      <c r="D225" s="17"/>
      <c r="E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</row>
    <row r="226" spans="1:19" x14ac:dyDescent="0.25">
      <c r="A226" s="17"/>
      <c r="B226" s="17"/>
      <c r="C226" s="17"/>
      <c r="D226" s="17"/>
      <c r="E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</row>
    <row r="227" spans="1:19" x14ac:dyDescent="0.25">
      <c r="A227" s="17"/>
      <c r="B227" s="17"/>
      <c r="C227" s="17"/>
      <c r="D227" s="17"/>
      <c r="E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</row>
    <row r="228" spans="1:19" x14ac:dyDescent="0.25">
      <c r="A228" s="17"/>
      <c r="B228" s="17"/>
      <c r="C228" s="17"/>
      <c r="D228" s="17"/>
      <c r="E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</row>
    <row r="229" spans="1:19" x14ac:dyDescent="0.25">
      <c r="A229" s="17"/>
      <c r="B229" s="17"/>
      <c r="C229" s="17"/>
      <c r="D229" s="17"/>
      <c r="E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</row>
    <row r="230" spans="1:19" x14ac:dyDescent="0.25">
      <c r="A230" s="17"/>
      <c r="B230" s="17"/>
      <c r="C230" s="17"/>
      <c r="D230" s="17"/>
      <c r="E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</row>
    <row r="231" spans="1:19" x14ac:dyDescent="0.25">
      <c r="A231" s="17"/>
      <c r="B231" s="17"/>
      <c r="C231" s="17"/>
      <c r="D231" s="17"/>
      <c r="E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</row>
    <row r="232" spans="1:19" x14ac:dyDescent="0.25">
      <c r="A232" s="17"/>
      <c r="B232" s="17"/>
      <c r="C232" s="17"/>
      <c r="D232" s="17"/>
      <c r="E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</row>
    <row r="233" spans="1:19" x14ac:dyDescent="0.25">
      <c r="A233" s="17"/>
      <c r="B233" s="17"/>
      <c r="C233" s="17"/>
      <c r="D233" s="17"/>
      <c r="E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</row>
    <row r="234" spans="1:19" x14ac:dyDescent="0.25">
      <c r="A234" s="17"/>
      <c r="B234" s="17"/>
      <c r="C234" s="17"/>
      <c r="D234" s="17"/>
      <c r="E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</row>
    <row r="235" spans="1:19" x14ac:dyDescent="0.25">
      <c r="A235" s="17"/>
      <c r="B235" s="17"/>
      <c r="C235" s="17"/>
      <c r="D235" s="17"/>
      <c r="E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</row>
    <row r="236" spans="1:19" x14ac:dyDescent="0.25">
      <c r="A236" s="17"/>
      <c r="B236" s="17"/>
      <c r="C236" s="17"/>
      <c r="D236" s="17"/>
      <c r="E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</row>
    <row r="237" spans="1:19" x14ac:dyDescent="0.25">
      <c r="A237" s="17"/>
      <c r="B237" s="17"/>
      <c r="C237" s="17"/>
      <c r="D237" s="17"/>
      <c r="E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</row>
    <row r="238" spans="1:19" x14ac:dyDescent="0.25">
      <c r="A238" s="17"/>
      <c r="B238" s="17"/>
      <c r="C238" s="17"/>
      <c r="D238" s="17"/>
      <c r="E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</row>
    <row r="239" spans="1:19" x14ac:dyDescent="0.25">
      <c r="A239" s="17"/>
      <c r="B239" s="17"/>
      <c r="C239" s="17"/>
      <c r="D239" s="17"/>
      <c r="E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</row>
    <row r="240" spans="1:19" x14ac:dyDescent="0.25">
      <c r="A240" s="17"/>
      <c r="B240" s="17"/>
      <c r="C240" s="17"/>
      <c r="D240" s="17"/>
      <c r="E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</row>
    <row r="241" spans="1:19" x14ac:dyDescent="0.25">
      <c r="A241" s="17"/>
      <c r="B241" s="17"/>
      <c r="C241" s="17"/>
      <c r="D241" s="17"/>
      <c r="E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</row>
    <row r="242" spans="1:19" x14ac:dyDescent="0.25">
      <c r="A242" s="17"/>
      <c r="B242" s="17"/>
      <c r="C242" s="17"/>
      <c r="D242" s="17"/>
      <c r="E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</row>
    <row r="243" spans="1:19" x14ac:dyDescent="0.25">
      <c r="A243" s="17"/>
      <c r="B243" s="17"/>
      <c r="C243" s="17"/>
      <c r="D243" s="17"/>
      <c r="E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</row>
    <row r="244" spans="1:19" x14ac:dyDescent="0.25">
      <c r="A244" s="17"/>
      <c r="B244" s="17"/>
      <c r="C244" s="17"/>
      <c r="D244" s="17"/>
      <c r="E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</row>
    <row r="245" spans="1:19" x14ac:dyDescent="0.25">
      <c r="A245" s="17"/>
      <c r="B245" s="17"/>
      <c r="C245" s="17"/>
      <c r="D245" s="17"/>
      <c r="E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</row>
    <row r="246" spans="1:19" x14ac:dyDescent="0.25">
      <c r="A246" s="17"/>
      <c r="B246" s="17"/>
      <c r="C246" s="17"/>
      <c r="D246" s="17"/>
      <c r="E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</row>
    <row r="247" spans="1:19" x14ac:dyDescent="0.25">
      <c r="A247" s="17"/>
      <c r="B247" s="17"/>
      <c r="C247" s="17"/>
      <c r="D247" s="17"/>
      <c r="E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</row>
    <row r="248" spans="1:19" x14ac:dyDescent="0.25">
      <c r="A248" s="17"/>
      <c r="B248" s="17"/>
      <c r="C248" s="17"/>
      <c r="D248" s="17"/>
      <c r="E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</row>
    <row r="249" spans="1:19" x14ac:dyDescent="0.25">
      <c r="A249" s="17"/>
      <c r="B249" s="17"/>
      <c r="C249" s="17"/>
      <c r="D249" s="17"/>
      <c r="E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</row>
    <row r="250" spans="1:19" x14ac:dyDescent="0.25">
      <c r="A250" s="17"/>
      <c r="B250" s="17"/>
      <c r="C250" s="17"/>
      <c r="D250" s="17"/>
      <c r="E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</row>
    <row r="251" spans="1:19" x14ac:dyDescent="0.25">
      <c r="A251" s="17"/>
      <c r="B251" s="17"/>
      <c r="C251" s="17"/>
      <c r="D251" s="17"/>
      <c r="E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</row>
    <row r="252" spans="1:19" x14ac:dyDescent="0.25">
      <c r="A252" s="17"/>
      <c r="B252" s="17"/>
      <c r="C252" s="17"/>
      <c r="D252" s="17"/>
      <c r="E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</row>
    <row r="253" spans="1:19" x14ac:dyDescent="0.25">
      <c r="A253" s="17"/>
      <c r="B253" s="17"/>
      <c r="C253" s="17"/>
      <c r="D253" s="17"/>
      <c r="E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</row>
    <row r="254" spans="1:19" x14ac:dyDescent="0.25">
      <c r="A254" s="17"/>
      <c r="B254" s="17"/>
      <c r="C254" s="17"/>
      <c r="D254" s="17"/>
      <c r="E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</row>
    <row r="255" spans="1:19" x14ac:dyDescent="0.25">
      <c r="A255" s="17"/>
      <c r="B255" s="17"/>
      <c r="C255" s="17"/>
      <c r="D255" s="17"/>
      <c r="E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</row>
    <row r="256" spans="1:19" x14ac:dyDescent="0.25">
      <c r="A256" s="17"/>
      <c r="B256" s="17"/>
      <c r="C256" s="17"/>
      <c r="D256" s="17"/>
      <c r="E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</row>
    <row r="257" spans="1:19" x14ac:dyDescent="0.25">
      <c r="A257" s="17"/>
      <c r="B257" s="17"/>
      <c r="C257" s="17"/>
      <c r="D257" s="17"/>
      <c r="E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</row>
    <row r="258" spans="1:19" x14ac:dyDescent="0.25">
      <c r="A258" s="17"/>
      <c r="B258" s="17"/>
      <c r="C258" s="17"/>
      <c r="D258" s="17"/>
      <c r="E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</row>
    <row r="259" spans="1:19" x14ac:dyDescent="0.25">
      <c r="A259" s="17"/>
      <c r="B259" s="17"/>
      <c r="C259" s="17"/>
      <c r="D259" s="17"/>
      <c r="E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</row>
    <row r="260" spans="1:19" x14ac:dyDescent="0.25">
      <c r="A260" s="17"/>
      <c r="B260" s="17"/>
      <c r="C260" s="17"/>
      <c r="D260" s="17"/>
      <c r="E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</row>
    <row r="261" spans="1:19" x14ac:dyDescent="0.25">
      <c r="A261" s="17"/>
      <c r="B261" s="17"/>
      <c r="C261" s="17"/>
      <c r="D261" s="17"/>
      <c r="E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</row>
    <row r="262" spans="1:19" x14ac:dyDescent="0.25">
      <c r="A262" s="17"/>
      <c r="B262" s="17"/>
      <c r="C262" s="17"/>
      <c r="D262" s="17"/>
      <c r="E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</row>
    <row r="263" spans="1:19" x14ac:dyDescent="0.25">
      <c r="A263" s="17"/>
      <c r="B263" s="17"/>
      <c r="C263" s="17"/>
      <c r="D263" s="17"/>
      <c r="E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</row>
    <row r="264" spans="1:19" x14ac:dyDescent="0.25">
      <c r="A264" s="17"/>
      <c r="B264" s="17"/>
      <c r="C264" s="17"/>
      <c r="D264" s="17"/>
      <c r="E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</row>
    <row r="265" spans="1:19" x14ac:dyDescent="0.25">
      <c r="A265" s="17"/>
      <c r="B265" s="17"/>
      <c r="C265" s="17"/>
      <c r="D265" s="17"/>
      <c r="E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</row>
    <row r="266" spans="1:19" x14ac:dyDescent="0.25">
      <c r="A266" s="17"/>
      <c r="B266" s="17"/>
      <c r="C266" s="17"/>
      <c r="D266" s="17"/>
      <c r="E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</row>
    <row r="267" spans="1:19" x14ac:dyDescent="0.25">
      <c r="A267" s="17"/>
      <c r="B267" s="17"/>
      <c r="C267" s="17"/>
      <c r="D267" s="17"/>
      <c r="E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</row>
    <row r="268" spans="1:19" x14ac:dyDescent="0.25">
      <c r="A268" s="17"/>
      <c r="B268" s="17"/>
      <c r="C268" s="17"/>
      <c r="D268" s="17"/>
      <c r="E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</row>
    <row r="269" spans="1:19" x14ac:dyDescent="0.25">
      <c r="A269" s="17"/>
      <c r="B269" s="17"/>
      <c r="C269" s="17"/>
      <c r="D269" s="17"/>
      <c r="E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</row>
    <row r="270" spans="1:19" x14ac:dyDescent="0.25">
      <c r="A270" s="17"/>
      <c r="B270" s="17"/>
      <c r="C270" s="17"/>
      <c r="D270" s="17"/>
      <c r="E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</row>
    <row r="271" spans="1:19" x14ac:dyDescent="0.25">
      <c r="A271" s="17"/>
      <c r="B271" s="17"/>
      <c r="C271" s="17"/>
      <c r="D271" s="17"/>
      <c r="E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</row>
    <row r="272" spans="1:19" x14ac:dyDescent="0.25">
      <c r="A272" s="17"/>
      <c r="B272" s="17"/>
      <c r="C272" s="17"/>
      <c r="D272" s="17"/>
      <c r="E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</row>
    <row r="273" spans="1:19" x14ac:dyDescent="0.25">
      <c r="A273" s="17"/>
      <c r="B273" s="17"/>
      <c r="C273" s="17"/>
      <c r="D273" s="17"/>
      <c r="E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</row>
    <row r="274" spans="1:19" x14ac:dyDescent="0.25">
      <c r="A274" s="17"/>
      <c r="B274" s="17"/>
      <c r="C274" s="17"/>
      <c r="D274" s="17"/>
      <c r="E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</row>
    <row r="275" spans="1:19" x14ac:dyDescent="0.25">
      <c r="A275" s="17"/>
      <c r="B275" s="17"/>
      <c r="C275" s="17"/>
      <c r="D275" s="17"/>
      <c r="E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</row>
    <row r="276" spans="1:19" x14ac:dyDescent="0.25">
      <c r="A276" s="17"/>
      <c r="B276" s="17"/>
      <c r="C276" s="17"/>
      <c r="D276" s="17"/>
      <c r="E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</row>
    <row r="277" spans="1:19" x14ac:dyDescent="0.25">
      <c r="A277" s="17"/>
      <c r="B277" s="17"/>
      <c r="C277" s="17"/>
      <c r="D277" s="17"/>
      <c r="E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</row>
    <row r="278" spans="1:19" x14ac:dyDescent="0.25">
      <c r="A278" s="17"/>
      <c r="B278" s="17"/>
      <c r="C278" s="17"/>
      <c r="D278" s="17"/>
      <c r="E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</row>
    <row r="279" spans="1:19" x14ac:dyDescent="0.25">
      <c r="A279" s="17"/>
      <c r="B279" s="17"/>
      <c r="C279" s="17"/>
      <c r="D279" s="17"/>
      <c r="E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</row>
    <row r="280" spans="1:19" x14ac:dyDescent="0.25">
      <c r="A280" s="17"/>
      <c r="B280" s="17"/>
      <c r="C280" s="17"/>
      <c r="D280" s="17"/>
      <c r="E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</row>
    <row r="281" spans="1:19" x14ac:dyDescent="0.25">
      <c r="A281" s="17"/>
      <c r="B281" s="17"/>
      <c r="C281" s="17"/>
      <c r="D281" s="17"/>
      <c r="E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</row>
    <row r="282" spans="1:19" x14ac:dyDescent="0.25">
      <c r="A282" s="17"/>
      <c r="B282" s="17"/>
      <c r="C282" s="17"/>
      <c r="D282" s="17"/>
      <c r="E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</row>
    <row r="283" spans="1:19" x14ac:dyDescent="0.25">
      <c r="A283" s="17"/>
      <c r="B283" s="17"/>
      <c r="C283" s="17"/>
      <c r="D283" s="17"/>
      <c r="E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</row>
    <row r="284" spans="1:19" x14ac:dyDescent="0.25">
      <c r="A284" s="17"/>
      <c r="B284" s="17"/>
      <c r="C284" s="17"/>
      <c r="D284" s="17"/>
      <c r="E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</row>
    <row r="285" spans="1:19" x14ac:dyDescent="0.25">
      <c r="A285" s="17"/>
      <c r="B285" s="17"/>
      <c r="C285" s="17"/>
      <c r="D285" s="17"/>
      <c r="E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</row>
    <row r="286" spans="1:19" x14ac:dyDescent="0.25">
      <c r="A286" s="17"/>
      <c r="B286" s="17"/>
      <c r="C286" s="17"/>
      <c r="D286" s="17"/>
      <c r="E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</row>
    <row r="287" spans="1:19" x14ac:dyDescent="0.25">
      <c r="A287" s="17"/>
      <c r="B287" s="17"/>
      <c r="C287" s="17"/>
      <c r="D287" s="17"/>
      <c r="E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</row>
    <row r="288" spans="1:19" x14ac:dyDescent="0.25">
      <c r="A288" s="17"/>
      <c r="B288" s="17"/>
      <c r="C288" s="17"/>
      <c r="D288" s="17"/>
      <c r="E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</row>
    <row r="289" spans="1:19" x14ac:dyDescent="0.25">
      <c r="A289" s="17"/>
      <c r="B289" s="17"/>
      <c r="C289" s="17"/>
      <c r="D289" s="17"/>
      <c r="E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</row>
    <row r="290" spans="1:19" x14ac:dyDescent="0.25">
      <c r="A290" s="17"/>
      <c r="B290" s="17"/>
      <c r="C290" s="17"/>
      <c r="D290" s="17"/>
      <c r="E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</row>
    <row r="291" spans="1:19" x14ac:dyDescent="0.25">
      <c r="A291" s="17"/>
      <c r="B291" s="17"/>
      <c r="C291" s="17"/>
      <c r="D291" s="17"/>
      <c r="E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</row>
    <row r="292" spans="1:19" x14ac:dyDescent="0.25">
      <c r="A292" s="17"/>
      <c r="B292" s="17"/>
      <c r="C292" s="17"/>
      <c r="D292" s="17"/>
      <c r="E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</row>
    <row r="293" spans="1:19" x14ac:dyDescent="0.25">
      <c r="A293" s="17"/>
      <c r="B293" s="17"/>
      <c r="C293" s="17"/>
      <c r="D293" s="17"/>
      <c r="E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</row>
    <row r="294" spans="1:19" x14ac:dyDescent="0.25">
      <c r="A294" s="17"/>
      <c r="B294" s="17"/>
      <c r="C294" s="17"/>
      <c r="D294" s="17"/>
      <c r="E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</row>
    <row r="295" spans="1:19" x14ac:dyDescent="0.25">
      <c r="A295" s="17"/>
      <c r="B295" s="17"/>
      <c r="C295" s="17"/>
      <c r="D295" s="17"/>
      <c r="E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</row>
    <row r="296" spans="1:19" x14ac:dyDescent="0.25">
      <c r="A296" s="17"/>
      <c r="B296" s="17"/>
      <c r="C296" s="17"/>
      <c r="D296" s="17"/>
      <c r="E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</row>
    <row r="297" spans="1:19" x14ac:dyDescent="0.25">
      <c r="A297" s="17"/>
      <c r="B297" s="17"/>
      <c r="C297" s="17"/>
      <c r="D297" s="17"/>
      <c r="E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</row>
    <row r="298" spans="1:19" x14ac:dyDescent="0.25">
      <c r="A298" s="17"/>
      <c r="B298" s="17"/>
      <c r="C298" s="17"/>
      <c r="D298" s="17"/>
      <c r="E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</row>
    <row r="299" spans="1:19" x14ac:dyDescent="0.25">
      <c r="A299" s="17"/>
      <c r="B299" s="17"/>
      <c r="C299" s="17"/>
      <c r="D299" s="17"/>
      <c r="E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</row>
    <row r="300" spans="1:19" x14ac:dyDescent="0.25">
      <c r="A300" s="17"/>
      <c r="B300" s="17"/>
      <c r="C300" s="17"/>
      <c r="D300" s="17"/>
      <c r="E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</row>
    <row r="301" spans="1:19" x14ac:dyDescent="0.25">
      <c r="A301" s="17"/>
      <c r="B301" s="17"/>
      <c r="C301" s="17"/>
      <c r="D301" s="17"/>
      <c r="E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</row>
    <row r="302" spans="1:19" x14ac:dyDescent="0.25">
      <c r="A302" s="17"/>
      <c r="B302" s="17"/>
      <c r="C302" s="17"/>
      <c r="D302" s="17"/>
      <c r="E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</row>
    <row r="303" spans="1:19" x14ac:dyDescent="0.25">
      <c r="A303" s="17"/>
      <c r="B303" s="17"/>
      <c r="C303" s="17"/>
      <c r="D303" s="17"/>
      <c r="E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</row>
    <row r="304" spans="1:19" x14ac:dyDescent="0.25">
      <c r="A304" s="17"/>
      <c r="B304" s="17"/>
      <c r="C304" s="17"/>
      <c r="D304" s="17"/>
      <c r="E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</row>
    <row r="305" spans="1:19" x14ac:dyDescent="0.25">
      <c r="A305" s="17"/>
      <c r="B305" s="17"/>
      <c r="C305" s="17"/>
      <c r="D305" s="17"/>
      <c r="E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</row>
    <row r="306" spans="1:19" x14ac:dyDescent="0.25">
      <c r="A306" s="17"/>
      <c r="B306" s="17"/>
      <c r="C306" s="17"/>
      <c r="D306" s="17"/>
      <c r="E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</row>
    <row r="307" spans="1:19" x14ac:dyDescent="0.25">
      <c r="A307" s="17"/>
      <c r="B307" s="17"/>
      <c r="C307" s="17"/>
      <c r="D307" s="17"/>
      <c r="E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</row>
    <row r="308" spans="1:19" x14ac:dyDescent="0.25">
      <c r="A308" s="17"/>
      <c r="B308" s="17"/>
      <c r="C308" s="17"/>
      <c r="D308" s="17"/>
      <c r="E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</row>
    <row r="309" spans="1:19" x14ac:dyDescent="0.25">
      <c r="A309" s="17"/>
      <c r="B309" s="17"/>
      <c r="C309" s="17"/>
      <c r="D309" s="17"/>
      <c r="E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</row>
    <row r="310" spans="1:19" x14ac:dyDescent="0.25">
      <c r="A310" s="17"/>
      <c r="B310" s="17"/>
      <c r="C310" s="17"/>
      <c r="D310" s="17"/>
      <c r="E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</row>
    <row r="311" spans="1:19" x14ac:dyDescent="0.25">
      <c r="A311" s="17"/>
      <c r="B311" s="17"/>
      <c r="C311" s="17"/>
      <c r="D311" s="17"/>
      <c r="E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</row>
    <row r="312" spans="1:19" x14ac:dyDescent="0.25">
      <c r="A312" s="17"/>
      <c r="B312" s="17"/>
      <c r="C312" s="17"/>
      <c r="D312" s="17"/>
      <c r="E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</row>
    <row r="313" spans="1:19" x14ac:dyDescent="0.25">
      <c r="A313" s="17"/>
      <c r="B313" s="17"/>
      <c r="C313" s="17"/>
      <c r="D313" s="17"/>
      <c r="E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</row>
    <row r="314" spans="1:19" x14ac:dyDescent="0.25">
      <c r="A314" s="17"/>
      <c r="B314" s="17"/>
      <c r="C314" s="17"/>
      <c r="D314" s="17"/>
      <c r="E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</row>
    <row r="315" spans="1:19" x14ac:dyDescent="0.25">
      <c r="A315" s="17"/>
      <c r="B315" s="17"/>
      <c r="C315" s="17"/>
      <c r="D315" s="17"/>
      <c r="E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</row>
    <row r="316" spans="1:19" x14ac:dyDescent="0.25">
      <c r="A316" s="17"/>
      <c r="B316" s="17"/>
      <c r="C316" s="17"/>
      <c r="D316" s="17"/>
      <c r="E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</row>
    <row r="317" spans="1:19" x14ac:dyDescent="0.25">
      <c r="A317" s="17"/>
      <c r="B317" s="17"/>
      <c r="C317" s="17"/>
      <c r="D317" s="17"/>
      <c r="E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</row>
    <row r="318" spans="1:19" x14ac:dyDescent="0.25">
      <c r="A318" s="17"/>
      <c r="B318" s="17"/>
      <c r="C318" s="17"/>
      <c r="D318" s="17"/>
      <c r="E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</row>
    <row r="319" spans="1:19" x14ac:dyDescent="0.25">
      <c r="A319" s="17"/>
      <c r="B319" s="17"/>
      <c r="C319" s="17"/>
      <c r="D319" s="17"/>
      <c r="E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</row>
    <row r="320" spans="1:19" x14ac:dyDescent="0.25">
      <c r="A320" s="17"/>
      <c r="B320" s="17"/>
      <c r="C320" s="17"/>
      <c r="D320" s="17"/>
      <c r="E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</row>
    <row r="321" spans="1:19" x14ac:dyDescent="0.25">
      <c r="A321" s="17"/>
      <c r="B321" s="17"/>
      <c r="C321" s="17"/>
      <c r="D321" s="17"/>
      <c r="E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</row>
    <row r="322" spans="1:19" x14ac:dyDescent="0.25">
      <c r="A322" s="17"/>
      <c r="B322" s="17"/>
      <c r="C322" s="17"/>
      <c r="D322" s="17"/>
      <c r="E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</row>
    <row r="323" spans="1:19" x14ac:dyDescent="0.25">
      <c r="A323" s="17"/>
      <c r="B323" s="17"/>
      <c r="C323" s="17"/>
      <c r="D323" s="17"/>
      <c r="E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</row>
    <row r="324" spans="1:19" x14ac:dyDescent="0.25">
      <c r="A324" s="17"/>
      <c r="B324" s="17"/>
      <c r="C324" s="17"/>
      <c r="D324" s="17"/>
      <c r="E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</row>
    <row r="325" spans="1:19" x14ac:dyDescent="0.25">
      <c r="A325" s="17"/>
      <c r="B325" s="17"/>
      <c r="C325" s="17"/>
      <c r="D325" s="17"/>
      <c r="E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</row>
    <row r="326" spans="1:19" x14ac:dyDescent="0.25">
      <c r="A326" s="17"/>
      <c r="B326" s="17"/>
      <c r="C326" s="17"/>
      <c r="D326" s="17"/>
      <c r="E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</row>
    <row r="327" spans="1:19" x14ac:dyDescent="0.25">
      <c r="A327" s="17"/>
      <c r="B327" s="17"/>
      <c r="C327" s="17"/>
      <c r="D327" s="17"/>
      <c r="E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</row>
    <row r="328" spans="1:19" x14ac:dyDescent="0.25">
      <c r="A328" s="17"/>
      <c r="B328" s="17"/>
      <c r="C328" s="17"/>
      <c r="D328" s="17"/>
      <c r="E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</row>
    <row r="329" spans="1:19" x14ac:dyDescent="0.25">
      <c r="A329" s="17"/>
      <c r="B329" s="17"/>
      <c r="C329" s="17"/>
      <c r="D329" s="17"/>
      <c r="E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</row>
    <row r="330" spans="1:19" x14ac:dyDescent="0.25">
      <c r="A330" s="17"/>
      <c r="B330" s="17"/>
      <c r="C330" s="17"/>
      <c r="D330" s="17"/>
      <c r="E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</row>
    <row r="331" spans="1:19" x14ac:dyDescent="0.25">
      <c r="A331" s="17"/>
      <c r="B331" s="17"/>
      <c r="C331" s="17"/>
      <c r="D331" s="17"/>
      <c r="E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</row>
    <row r="332" spans="1:19" x14ac:dyDescent="0.25">
      <c r="A332" s="17"/>
      <c r="B332" s="17"/>
      <c r="C332" s="17"/>
      <c r="D332" s="17"/>
      <c r="E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</row>
    <row r="333" spans="1:19" x14ac:dyDescent="0.25">
      <c r="A333" s="17"/>
      <c r="B333" s="17"/>
      <c r="C333" s="17"/>
      <c r="D333" s="17"/>
      <c r="E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</row>
    <row r="334" spans="1:19" x14ac:dyDescent="0.25">
      <c r="A334" s="17"/>
      <c r="B334" s="17"/>
      <c r="C334" s="17"/>
      <c r="D334" s="17"/>
      <c r="E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</row>
    <row r="335" spans="1:19" x14ac:dyDescent="0.25">
      <c r="A335" s="17"/>
      <c r="B335" s="17"/>
      <c r="C335" s="17"/>
      <c r="D335" s="17"/>
      <c r="E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</row>
    <row r="336" spans="1:19" x14ac:dyDescent="0.25">
      <c r="A336" s="17"/>
      <c r="B336" s="17"/>
      <c r="C336" s="17"/>
      <c r="D336" s="17"/>
      <c r="E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</row>
    <row r="337" spans="1:19" x14ac:dyDescent="0.25">
      <c r="A337" s="17"/>
      <c r="B337" s="17"/>
      <c r="C337" s="17"/>
      <c r="D337" s="17"/>
      <c r="E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</row>
    <row r="338" spans="1:19" x14ac:dyDescent="0.25">
      <c r="A338" s="17"/>
      <c r="B338" s="17"/>
      <c r="C338" s="17"/>
      <c r="D338" s="17"/>
      <c r="E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</row>
    <row r="339" spans="1:19" x14ac:dyDescent="0.25">
      <c r="A339" s="17"/>
      <c r="B339" s="17"/>
      <c r="C339" s="17"/>
      <c r="D339" s="17"/>
      <c r="E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</row>
    <row r="340" spans="1:19" x14ac:dyDescent="0.25">
      <c r="A340" s="17"/>
      <c r="B340" s="17"/>
      <c r="C340" s="17"/>
      <c r="D340" s="17"/>
      <c r="E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</row>
    <row r="341" spans="1:19" x14ac:dyDescent="0.25">
      <c r="A341" s="17"/>
      <c r="B341" s="17"/>
      <c r="C341" s="17"/>
      <c r="D341" s="17"/>
      <c r="E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</row>
    <row r="342" spans="1:19" x14ac:dyDescent="0.25">
      <c r="A342" s="17"/>
      <c r="B342" s="17"/>
      <c r="C342" s="17"/>
      <c r="D342" s="17"/>
      <c r="E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</row>
    <row r="343" spans="1:19" x14ac:dyDescent="0.25">
      <c r="A343" s="17"/>
      <c r="B343" s="17"/>
      <c r="C343" s="17"/>
      <c r="D343" s="17"/>
      <c r="E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</row>
    <row r="344" spans="1:19" x14ac:dyDescent="0.25">
      <c r="A344" s="17"/>
      <c r="B344" s="17"/>
      <c r="C344" s="17"/>
      <c r="D344" s="17"/>
      <c r="E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</row>
    <row r="345" spans="1:19" x14ac:dyDescent="0.25">
      <c r="A345" s="17"/>
      <c r="B345" s="17"/>
      <c r="C345" s="17"/>
      <c r="D345" s="17"/>
      <c r="E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</row>
    <row r="346" spans="1:19" x14ac:dyDescent="0.25">
      <c r="A346" s="17"/>
      <c r="B346" s="17"/>
      <c r="C346" s="17"/>
      <c r="D346" s="17"/>
      <c r="E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</row>
    <row r="347" spans="1:19" x14ac:dyDescent="0.25">
      <c r="A347" s="17"/>
      <c r="B347" s="17"/>
      <c r="C347" s="17"/>
      <c r="D347" s="17"/>
      <c r="E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</row>
    <row r="348" spans="1:19" x14ac:dyDescent="0.25">
      <c r="A348" s="17"/>
      <c r="B348" s="17"/>
      <c r="C348" s="17"/>
      <c r="D348" s="17"/>
      <c r="E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</row>
    <row r="349" spans="1:19" x14ac:dyDescent="0.25">
      <c r="A349" s="17"/>
      <c r="B349" s="17"/>
      <c r="C349" s="17"/>
      <c r="D349" s="17"/>
      <c r="E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</row>
    <row r="350" spans="1:19" x14ac:dyDescent="0.25">
      <c r="A350" s="17"/>
      <c r="B350" s="17"/>
      <c r="C350" s="17"/>
      <c r="D350" s="17"/>
      <c r="E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</row>
    <row r="351" spans="1:19" x14ac:dyDescent="0.25">
      <c r="A351" s="17"/>
      <c r="B351" s="17"/>
      <c r="C351" s="17"/>
      <c r="D351" s="17"/>
      <c r="E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</row>
    <row r="352" spans="1:19" x14ac:dyDescent="0.25">
      <c r="A352" s="17"/>
      <c r="B352" s="17"/>
      <c r="C352" s="17"/>
      <c r="D352" s="17"/>
      <c r="E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</row>
    <row r="353" spans="1:19" x14ac:dyDescent="0.25">
      <c r="A353" s="17"/>
      <c r="B353" s="17"/>
      <c r="C353" s="17"/>
      <c r="D353" s="17"/>
      <c r="E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</row>
    <row r="354" spans="1:19" x14ac:dyDescent="0.25">
      <c r="A354" s="17"/>
      <c r="B354" s="17"/>
      <c r="C354" s="17"/>
      <c r="D354" s="17"/>
      <c r="E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</row>
    <row r="355" spans="1:19" x14ac:dyDescent="0.25">
      <c r="A355" s="17"/>
      <c r="B355" s="17"/>
      <c r="C355" s="17"/>
      <c r="D355" s="17"/>
      <c r="E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</row>
    <row r="356" spans="1:19" x14ac:dyDescent="0.25">
      <c r="A356" s="17"/>
      <c r="B356" s="17"/>
      <c r="C356" s="17"/>
      <c r="D356" s="17"/>
      <c r="E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</row>
  </sheetData>
  <sheetProtection sort="0"/>
  <phoneticPr fontId="3" type="noConversion"/>
  <conditionalFormatting sqref="C107:E125 G107:S125 M27:R29 G27:K29 O21:R21 M39:N39 S10:S47 S6:S8">
    <cfRule type="cellIs" dxfId="233" priority="161" operator="equal">
      <formula>0</formula>
    </cfRule>
  </conditionalFormatting>
  <conditionalFormatting sqref="G106:S106 C106:E106">
    <cfRule type="cellIs" dxfId="232" priority="155" operator="equal">
      <formula>0</formula>
    </cfRule>
  </conditionalFormatting>
  <conditionalFormatting sqref="G105:S105 C105:E105">
    <cfRule type="cellIs" dxfId="231" priority="154" operator="equal">
      <formula>0</formula>
    </cfRule>
  </conditionalFormatting>
  <conditionalFormatting sqref="G104:S104 C104:E104">
    <cfRule type="cellIs" dxfId="230" priority="153" operator="equal">
      <formula>0</formula>
    </cfRule>
  </conditionalFormatting>
  <conditionalFormatting sqref="G103:S103 C103:E103">
    <cfRule type="cellIs" dxfId="229" priority="152" operator="equal">
      <formula>0</formula>
    </cfRule>
  </conditionalFormatting>
  <conditionalFormatting sqref="G102:S102 C102:E102">
    <cfRule type="cellIs" dxfId="228" priority="151" operator="equal">
      <formula>0</formula>
    </cfRule>
  </conditionalFormatting>
  <conditionalFormatting sqref="G101:S101 C101:E101">
    <cfRule type="cellIs" dxfId="227" priority="150" operator="equal">
      <formula>0</formula>
    </cfRule>
  </conditionalFormatting>
  <conditionalFormatting sqref="G100:S100 C100:E100">
    <cfRule type="cellIs" dxfId="226" priority="149" operator="equal">
      <formula>0</formula>
    </cfRule>
  </conditionalFormatting>
  <conditionalFormatting sqref="G99:S99 C99:E99">
    <cfRule type="cellIs" dxfId="225" priority="148" operator="equal">
      <formula>0</formula>
    </cfRule>
  </conditionalFormatting>
  <conditionalFormatting sqref="G98:S98 C98:E98">
    <cfRule type="cellIs" dxfId="224" priority="147" operator="equal">
      <formula>0</formula>
    </cfRule>
  </conditionalFormatting>
  <conditionalFormatting sqref="G97:S97 C97:E97">
    <cfRule type="cellIs" dxfId="223" priority="146" operator="equal">
      <formula>0</formula>
    </cfRule>
  </conditionalFormatting>
  <conditionalFormatting sqref="G96:S96 C96:E96">
    <cfRule type="cellIs" dxfId="222" priority="145" operator="equal">
      <formula>0</formula>
    </cfRule>
  </conditionalFormatting>
  <conditionalFormatting sqref="G95:S95 C95:E95">
    <cfRule type="cellIs" dxfId="221" priority="144" operator="equal">
      <formula>0</formula>
    </cfRule>
  </conditionalFormatting>
  <conditionalFormatting sqref="G94:S94 C94:E94">
    <cfRule type="cellIs" dxfId="220" priority="143" operator="equal">
      <formula>0</formula>
    </cfRule>
  </conditionalFormatting>
  <conditionalFormatting sqref="G93:S93 C93:E93">
    <cfRule type="cellIs" dxfId="219" priority="142" operator="equal">
      <formula>0</formula>
    </cfRule>
  </conditionalFormatting>
  <conditionalFormatting sqref="G92:S92 C92:E92">
    <cfRule type="cellIs" dxfId="218" priority="141" operator="equal">
      <formula>0</formula>
    </cfRule>
  </conditionalFormatting>
  <conditionalFormatting sqref="G91:S91 C91:E91">
    <cfRule type="cellIs" dxfId="217" priority="140" operator="equal">
      <formula>0</formula>
    </cfRule>
  </conditionalFormatting>
  <conditionalFormatting sqref="G90:S90 C90:E90">
    <cfRule type="cellIs" dxfId="216" priority="139" operator="equal">
      <formula>0</formula>
    </cfRule>
  </conditionalFormatting>
  <conditionalFormatting sqref="G89:S89 C89:E89">
    <cfRule type="cellIs" dxfId="215" priority="138" operator="equal">
      <formula>0</formula>
    </cfRule>
  </conditionalFormatting>
  <conditionalFormatting sqref="G88:S88 C88:E88">
    <cfRule type="cellIs" dxfId="214" priority="137" operator="equal">
      <formula>0</formula>
    </cfRule>
  </conditionalFormatting>
  <conditionalFormatting sqref="G87:S87 C87:E87">
    <cfRule type="cellIs" dxfId="213" priority="136" operator="equal">
      <formula>0</formula>
    </cfRule>
  </conditionalFormatting>
  <conditionalFormatting sqref="G86:S86 C86:E86">
    <cfRule type="cellIs" dxfId="212" priority="135" operator="equal">
      <formula>0</formula>
    </cfRule>
  </conditionalFormatting>
  <conditionalFormatting sqref="G85:S85 C85:E85">
    <cfRule type="cellIs" dxfId="211" priority="134" operator="equal">
      <formula>0</formula>
    </cfRule>
  </conditionalFormatting>
  <conditionalFormatting sqref="G84:S84 C84:E84">
    <cfRule type="cellIs" dxfId="210" priority="133" operator="equal">
      <formula>0</formula>
    </cfRule>
  </conditionalFormatting>
  <conditionalFormatting sqref="G83:S83 C83:E83">
    <cfRule type="cellIs" dxfId="209" priority="132" operator="equal">
      <formula>0</formula>
    </cfRule>
  </conditionalFormatting>
  <conditionalFormatting sqref="G82:S82 C82:E82">
    <cfRule type="cellIs" dxfId="208" priority="131" operator="equal">
      <formula>0</formula>
    </cfRule>
  </conditionalFormatting>
  <conditionalFormatting sqref="G81:S81 C81:E81">
    <cfRule type="cellIs" dxfId="207" priority="130" operator="equal">
      <formula>0</formula>
    </cfRule>
  </conditionalFormatting>
  <conditionalFormatting sqref="G80:S80 C80:E80">
    <cfRule type="cellIs" dxfId="206" priority="129" operator="equal">
      <formula>0</formula>
    </cfRule>
  </conditionalFormatting>
  <conditionalFormatting sqref="G79:S79 C79:E79">
    <cfRule type="cellIs" dxfId="205" priority="128" operator="equal">
      <formula>0</formula>
    </cfRule>
  </conditionalFormatting>
  <conditionalFormatting sqref="G78:S78 C78:E78">
    <cfRule type="cellIs" dxfId="204" priority="127" operator="equal">
      <formula>0</formula>
    </cfRule>
  </conditionalFormatting>
  <conditionalFormatting sqref="G77:S77 C77:E77">
    <cfRule type="cellIs" dxfId="203" priority="126" operator="equal">
      <formula>0</formula>
    </cfRule>
  </conditionalFormatting>
  <conditionalFormatting sqref="G76:S76 C76:E76">
    <cfRule type="cellIs" dxfId="202" priority="125" operator="equal">
      <formula>0</formula>
    </cfRule>
  </conditionalFormatting>
  <conditionalFormatting sqref="G75:S75 C75:E75">
    <cfRule type="cellIs" dxfId="201" priority="124" operator="equal">
      <formula>0</formula>
    </cfRule>
  </conditionalFormatting>
  <conditionalFormatting sqref="G74:S74 C74:E74">
    <cfRule type="cellIs" dxfId="200" priority="123" operator="equal">
      <formula>0</formula>
    </cfRule>
  </conditionalFormatting>
  <conditionalFormatting sqref="G73:S73 C73:E73">
    <cfRule type="cellIs" dxfId="199" priority="122" operator="equal">
      <formula>0</formula>
    </cfRule>
  </conditionalFormatting>
  <conditionalFormatting sqref="G72:S72 C72:E72">
    <cfRule type="cellIs" dxfId="198" priority="121" operator="equal">
      <formula>0</formula>
    </cfRule>
  </conditionalFormatting>
  <conditionalFormatting sqref="G71:S71 C71:E71">
    <cfRule type="cellIs" dxfId="197" priority="120" operator="equal">
      <formula>0</formula>
    </cfRule>
  </conditionalFormatting>
  <conditionalFormatting sqref="G70:S70 C70:E70">
    <cfRule type="cellIs" dxfId="196" priority="119" operator="equal">
      <formula>0</formula>
    </cfRule>
  </conditionalFormatting>
  <conditionalFormatting sqref="G69:S69 C69:E69">
    <cfRule type="cellIs" dxfId="195" priority="118" operator="equal">
      <formula>0</formula>
    </cfRule>
  </conditionalFormatting>
  <conditionalFormatting sqref="G68:S68 C68:E68">
    <cfRule type="cellIs" dxfId="194" priority="117" operator="equal">
      <formula>0</formula>
    </cfRule>
  </conditionalFormatting>
  <conditionalFormatting sqref="G67:S67 C67:E67">
    <cfRule type="cellIs" dxfId="193" priority="116" operator="equal">
      <formula>0</formula>
    </cfRule>
  </conditionalFormatting>
  <conditionalFormatting sqref="G66:S66 C66:E66">
    <cfRule type="cellIs" dxfId="192" priority="115" operator="equal">
      <formula>0</formula>
    </cfRule>
  </conditionalFormatting>
  <conditionalFormatting sqref="G65:R65 C65:E65">
    <cfRule type="cellIs" dxfId="191" priority="114" operator="equal">
      <formula>0</formula>
    </cfRule>
  </conditionalFormatting>
  <conditionalFormatting sqref="G64:R64 C64:E64">
    <cfRule type="cellIs" dxfId="190" priority="113" operator="equal">
      <formula>0</formula>
    </cfRule>
  </conditionalFormatting>
  <conditionalFormatting sqref="S64:S65">
    <cfRule type="cellIs" dxfId="189" priority="112" operator="equal">
      <formula>0</formula>
    </cfRule>
  </conditionalFormatting>
  <conditionalFormatting sqref="G63:R63 C63:E63">
    <cfRule type="cellIs" dxfId="188" priority="111" operator="equal">
      <formula>0</formula>
    </cfRule>
  </conditionalFormatting>
  <conditionalFormatting sqref="S61:S63">
    <cfRule type="cellIs" dxfId="187" priority="110" operator="equal">
      <formula>0</formula>
    </cfRule>
  </conditionalFormatting>
  <conditionalFormatting sqref="G62:R62 C62:E62">
    <cfRule type="cellIs" dxfId="186" priority="109" operator="equal">
      <formula>0</formula>
    </cfRule>
  </conditionalFormatting>
  <conditionalFormatting sqref="G61:R61 C61:E61">
    <cfRule type="cellIs" dxfId="185" priority="108" operator="equal">
      <formula>0</formula>
    </cfRule>
  </conditionalFormatting>
  <conditionalFormatting sqref="S60">
    <cfRule type="cellIs" dxfId="184" priority="105" operator="equal">
      <formula>0</formula>
    </cfRule>
  </conditionalFormatting>
  <conditionalFormatting sqref="G60:R60 C60:E60">
    <cfRule type="cellIs" dxfId="183" priority="104" operator="equal">
      <formula>0</formula>
    </cfRule>
  </conditionalFormatting>
  <conditionalFormatting sqref="S59">
    <cfRule type="cellIs" dxfId="182" priority="101" operator="equal">
      <formula>0</formula>
    </cfRule>
  </conditionalFormatting>
  <conditionalFormatting sqref="G59:R59 C59:E59">
    <cfRule type="cellIs" dxfId="181" priority="100" operator="equal">
      <formula>0</formula>
    </cfRule>
  </conditionalFormatting>
  <conditionalFormatting sqref="S58">
    <cfRule type="cellIs" dxfId="180" priority="97" operator="equal">
      <formula>0</formula>
    </cfRule>
  </conditionalFormatting>
  <conditionalFormatting sqref="G58:R58 C58:E58">
    <cfRule type="cellIs" dxfId="179" priority="96" operator="equal">
      <formula>0</formula>
    </cfRule>
  </conditionalFormatting>
  <conditionalFormatting sqref="S57">
    <cfRule type="cellIs" dxfId="178" priority="93" operator="equal">
      <formula>0</formula>
    </cfRule>
  </conditionalFormatting>
  <conditionalFormatting sqref="G57:R57 C57:E57">
    <cfRule type="cellIs" dxfId="177" priority="92" operator="equal">
      <formula>0</formula>
    </cfRule>
  </conditionalFormatting>
  <conditionalFormatting sqref="S56">
    <cfRule type="cellIs" dxfId="176" priority="89" operator="equal">
      <formula>0</formula>
    </cfRule>
  </conditionalFormatting>
  <conditionalFormatting sqref="G56:R56 C56:E56">
    <cfRule type="cellIs" dxfId="175" priority="88" operator="equal">
      <formula>0</formula>
    </cfRule>
  </conditionalFormatting>
  <conditionalFormatting sqref="S55">
    <cfRule type="cellIs" dxfId="174" priority="85" operator="equal">
      <formula>0</formula>
    </cfRule>
  </conditionalFormatting>
  <conditionalFormatting sqref="G55:R55 C55:E55">
    <cfRule type="cellIs" dxfId="173" priority="84" operator="equal">
      <formula>0</formula>
    </cfRule>
  </conditionalFormatting>
  <conditionalFormatting sqref="S54">
    <cfRule type="cellIs" dxfId="172" priority="81" operator="equal">
      <formula>0</formula>
    </cfRule>
  </conditionalFormatting>
  <conditionalFormatting sqref="G54:R54 C54:E54">
    <cfRule type="cellIs" dxfId="171" priority="80" operator="equal">
      <formula>0</formula>
    </cfRule>
  </conditionalFormatting>
  <conditionalFormatting sqref="S53">
    <cfRule type="cellIs" dxfId="170" priority="77" operator="equal">
      <formula>0</formula>
    </cfRule>
  </conditionalFormatting>
  <conditionalFormatting sqref="G53:R53 C53:E53">
    <cfRule type="cellIs" dxfId="169" priority="76" operator="equal">
      <formula>0</formula>
    </cfRule>
  </conditionalFormatting>
  <conditionalFormatting sqref="S52">
    <cfRule type="cellIs" dxfId="168" priority="73" operator="equal">
      <formula>0</formula>
    </cfRule>
  </conditionalFormatting>
  <conditionalFormatting sqref="G52:R52 C52:E52">
    <cfRule type="cellIs" dxfId="167" priority="72" operator="equal">
      <formula>0</formula>
    </cfRule>
  </conditionalFormatting>
  <conditionalFormatting sqref="S51">
    <cfRule type="cellIs" dxfId="166" priority="69" operator="equal">
      <formula>0</formula>
    </cfRule>
  </conditionalFormatting>
  <conditionalFormatting sqref="G51:R51 C51:E51">
    <cfRule type="cellIs" dxfId="165" priority="68" operator="equal">
      <formula>0</formula>
    </cfRule>
  </conditionalFormatting>
  <conditionalFormatting sqref="S50">
    <cfRule type="cellIs" dxfId="164" priority="65" operator="equal">
      <formula>0</formula>
    </cfRule>
  </conditionalFormatting>
  <conditionalFormatting sqref="G50:R50 C50:E50">
    <cfRule type="cellIs" dxfId="163" priority="64" operator="equal">
      <formula>0</formula>
    </cfRule>
  </conditionalFormatting>
  <conditionalFormatting sqref="S49">
    <cfRule type="cellIs" dxfId="162" priority="61" operator="equal">
      <formula>0</formula>
    </cfRule>
  </conditionalFormatting>
  <conditionalFormatting sqref="G49:R49 C49:E49">
    <cfRule type="cellIs" dxfId="161" priority="60" operator="equal">
      <formula>0</formula>
    </cfRule>
  </conditionalFormatting>
  <conditionalFormatting sqref="S48">
    <cfRule type="cellIs" dxfId="160" priority="57" operator="equal">
      <formula>0</formula>
    </cfRule>
  </conditionalFormatting>
  <conditionalFormatting sqref="G48:R48 C48:E48">
    <cfRule type="cellIs" dxfId="159" priority="56" operator="equal">
      <formula>0</formula>
    </cfRule>
  </conditionalFormatting>
  <conditionalFormatting sqref="G47:R47 C47:E47">
    <cfRule type="cellIs" dxfId="158" priority="52" operator="equal">
      <formula>0</formula>
    </cfRule>
  </conditionalFormatting>
  <conditionalFormatting sqref="U5:U125">
    <cfRule type="cellIs" dxfId="157" priority="106" operator="equal">
      <formula>#REF!</formula>
    </cfRule>
    <cfRule type="cellIs" dxfId="156" priority="107" operator="equal">
      <formula>#REF!</formula>
    </cfRule>
  </conditionalFormatting>
  <conditionalFormatting sqref="G46:R46 C46:E46">
    <cfRule type="cellIs" dxfId="155" priority="49" operator="equal">
      <formula>0</formula>
    </cfRule>
  </conditionalFormatting>
  <conditionalFormatting sqref="G45:R45 C45:E45">
    <cfRule type="cellIs" dxfId="154" priority="48" operator="equal">
      <formula>0</formula>
    </cfRule>
  </conditionalFormatting>
  <conditionalFormatting sqref="G44:R44 C44:E44">
    <cfRule type="cellIs" dxfId="153" priority="47" operator="equal">
      <formula>0</formula>
    </cfRule>
  </conditionalFormatting>
  <conditionalFormatting sqref="G43:R43 C43:E43">
    <cfRule type="cellIs" dxfId="152" priority="46" operator="equal">
      <formula>0</formula>
    </cfRule>
  </conditionalFormatting>
  <conditionalFormatting sqref="G42:R42 C42:E42">
    <cfRule type="cellIs" dxfId="151" priority="45" operator="equal">
      <formula>0</formula>
    </cfRule>
  </conditionalFormatting>
  <conditionalFormatting sqref="G41:R41 C41:E41">
    <cfRule type="cellIs" dxfId="150" priority="44" operator="equal">
      <formula>0</formula>
    </cfRule>
  </conditionalFormatting>
  <conditionalFormatting sqref="G40:R40">
    <cfRule type="cellIs" dxfId="149" priority="43" operator="equal">
      <formula>0</formula>
    </cfRule>
  </conditionalFormatting>
  <conditionalFormatting sqref="O39:R39">
    <cfRule type="cellIs" dxfId="148" priority="42" operator="equal">
      <formula>0</formula>
    </cfRule>
  </conditionalFormatting>
  <conditionalFormatting sqref="C40:E40">
    <cfRule type="cellIs" dxfId="147" priority="41" operator="equal">
      <formula>0</formula>
    </cfRule>
  </conditionalFormatting>
  <conditionalFormatting sqref="G38:R38 C38:E38">
    <cfRule type="cellIs" dxfId="146" priority="40" operator="equal">
      <formula>0</formula>
    </cfRule>
  </conditionalFormatting>
  <conditionalFormatting sqref="G37:R37 C37:E37">
    <cfRule type="cellIs" dxfId="145" priority="39" operator="equal">
      <formula>0</formula>
    </cfRule>
  </conditionalFormatting>
  <conditionalFormatting sqref="G36:R36 C36:E36">
    <cfRule type="cellIs" dxfId="144" priority="38" operator="equal">
      <formula>0</formula>
    </cfRule>
  </conditionalFormatting>
  <conditionalFormatting sqref="G35:R35 C35:E35">
    <cfRule type="cellIs" dxfId="143" priority="37" operator="equal">
      <formula>0</formula>
    </cfRule>
  </conditionalFormatting>
  <conditionalFormatting sqref="G34:R34 C34:E34">
    <cfRule type="cellIs" dxfId="142" priority="36" operator="equal">
      <formula>0</formula>
    </cfRule>
  </conditionalFormatting>
  <conditionalFormatting sqref="G33:R33 C33:E33">
    <cfRule type="cellIs" dxfId="141" priority="35" operator="equal">
      <formula>0</formula>
    </cfRule>
  </conditionalFormatting>
  <conditionalFormatting sqref="G32:R32 C32:E32">
    <cfRule type="cellIs" dxfId="140" priority="34" operator="equal">
      <formula>0</formula>
    </cfRule>
  </conditionalFormatting>
  <conditionalFormatting sqref="G31:R31 C31:E31">
    <cfRule type="cellIs" dxfId="139" priority="33" operator="equal">
      <formula>0</formula>
    </cfRule>
  </conditionalFormatting>
  <conditionalFormatting sqref="G30:R30 C30:E30">
    <cfRule type="cellIs" dxfId="138" priority="32" operator="equal">
      <formula>0</formula>
    </cfRule>
  </conditionalFormatting>
  <conditionalFormatting sqref="C29:E29">
    <cfRule type="cellIs" dxfId="137" priority="31" operator="equal">
      <formula>0</formula>
    </cfRule>
  </conditionalFormatting>
  <conditionalFormatting sqref="C28:E28">
    <cfRule type="cellIs" dxfId="136" priority="30" operator="equal">
      <formula>0</formula>
    </cfRule>
  </conditionalFormatting>
  <conditionalFormatting sqref="C27:E27">
    <cfRule type="cellIs" dxfId="135" priority="29" operator="equal">
      <formula>0</formula>
    </cfRule>
  </conditionalFormatting>
  <conditionalFormatting sqref="M26:R26 G26:K26">
    <cfRule type="cellIs" dxfId="134" priority="28" operator="equal">
      <formula>0</formula>
    </cfRule>
  </conditionalFormatting>
  <conditionalFormatting sqref="C26:E26">
    <cfRule type="cellIs" dxfId="133" priority="27" operator="equal">
      <formula>0</formula>
    </cfRule>
  </conditionalFormatting>
  <conditionalFormatting sqref="M25:R25 G25:K25">
    <cfRule type="cellIs" dxfId="132" priority="26" operator="equal">
      <formula>0</formula>
    </cfRule>
  </conditionalFormatting>
  <conditionalFormatting sqref="C25:E25">
    <cfRule type="cellIs" dxfId="131" priority="25" operator="equal">
      <formula>0</formula>
    </cfRule>
  </conditionalFormatting>
  <conditionalFormatting sqref="M24:R24 G24:K24">
    <cfRule type="cellIs" dxfId="130" priority="24" operator="equal">
      <formula>0</formula>
    </cfRule>
  </conditionalFormatting>
  <conditionalFormatting sqref="C24:E24">
    <cfRule type="cellIs" dxfId="129" priority="23" operator="equal">
      <formula>0</formula>
    </cfRule>
  </conditionalFormatting>
  <conditionalFormatting sqref="M23:R23 G23:K23">
    <cfRule type="cellIs" dxfId="128" priority="22" operator="equal">
      <formula>0</formula>
    </cfRule>
  </conditionalFormatting>
  <conditionalFormatting sqref="C23:E23">
    <cfRule type="cellIs" dxfId="127" priority="21" operator="equal">
      <formula>0</formula>
    </cfRule>
  </conditionalFormatting>
  <conditionalFormatting sqref="M22:R22 G22:K22">
    <cfRule type="cellIs" dxfId="126" priority="20" operator="equal">
      <formula>0</formula>
    </cfRule>
  </conditionalFormatting>
  <conditionalFormatting sqref="C22:E22">
    <cfRule type="cellIs" dxfId="125" priority="19" operator="equal">
      <formula>0</formula>
    </cfRule>
  </conditionalFormatting>
  <conditionalFormatting sqref="G39:K39">
    <cfRule type="cellIs" dxfId="124" priority="18" operator="equal">
      <formula>0</formula>
    </cfRule>
  </conditionalFormatting>
  <conditionalFormatting sqref="C39:E39">
    <cfRule type="cellIs" dxfId="123" priority="17" operator="equal">
      <formula>0</formula>
    </cfRule>
  </conditionalFormatting>
  <conditionalFormatting sqref="O20:R20">
    <cfRule type="cellIs" dxfId="122" priority="16" operator="equal">
      <formula>0</formula>
    </cfRule>
  </conditionalFormatting>
  <conditionalFormatting sqref="O19:R19">
    <cfRule type="cellIs" dxfId="121" priority="15" operator="equal">
      <formula>0</formula>
    </cfRule>
  </conditionalFormatting>
  <conditionalFormatting sqref="O18:R18">
    <cfRule type="cellIs" dxfId="120" priority="14" operator="equal">
      <formula>0</formula>
    </cfRule>
  </conditionalFormatting>
  <conditionalFormatting sqref="O17:R17">
    <cfRule type="cellIs" dxfId="119" priority="13" operator="equal">
      <formula>0</formula>
    </cfRule>
  </conditionalFormatting>
  <conditionalFormatting sqref="O16:R16">
    <cfRule type="cellIs" dxfId="118" priority="12" operator="equal">
      <formula>0</formula>
    </cfRule>
  </conditionalFormatting>
  <conditionalFormatting sqref="O15:R15">
    <cfRule type="cellIs" dxfId="117" priority="11" operator="equal">
      <formula>0</formula>
    </cfRule>
  </conditionalFormatting>
  <conditionalFormatting sqref="O14:R14">
    <cfRule type="cellIs" dxfId="116" priority="10" operator="equal">
      <formula>0</formula>
    </cfRule>
  </conditionalFormatting>
  <conditionalFormatting sqref="Q13:R13">
    <cfRule type="cellIs" dxfId="115" priority="9" operator="equal">
      <formula>0</formula>
    </cfRule>
  </conditionalFormatting>
  <conditionalFormatting sqref="O12:R12">
    <cfRule type="cellIs" dxfId="114" priority="8" operator="equal">
      <formula>0</formula>
    </cfRule>
  </conditionalFormatting>
  <conditionalFormatting sqref="O13:P13">
    <cfRule type="cellIs" dxfId="113" priority="7" operator="equal">
      <formula>0</formula>
    </cfRule>
  </conditionalFormatting>
  <conditionalFormatting sqref="O11:R11">
    <cfRule type="cellIs" dxfId="112" priority="6" operator="equal">
      <formula>0</formula>
    </cfRule>
  </conditionalFormatting>
  <conditionalFormatting sqref="O10:R10">
    <cfRule type="cellIs" dxfId="111" priority="5" operator="equal">
      <formula>0</formula>
    </cfRule>
  </conditionalFormatting>
  <conditionalFormatting sqref="O8:R8">
    <cfRule type="cellIs" dxfId="110" priority="4" operator="equal">
      <formula>0</formula>
    </cfRule>
  </conditionalFormatting>
  <conditionalFormatting sqref="O7:R7">
    <cfRule type="cellIs" dxfId="109" priority="3" operator="equal">
      <formula>0</formula>
    </cfRule>
  </conditionalFormatting>
  <conditionalFormatting sqref="O6:R6">
    <cfRule type="cellIs" dxfId="108" priority="2" operator="equal">
      <formula>0</formula>
    </cfRule>
  </conditionalFormatting>
  <dataValidations count="1">
    <dataValidation type="list" allowBlank="1" showInputMessage="1" showErrorMessage="1" sqref="U5:U125" xr:uid="{00000000-0002-0000-0200-000000000000}">
      <formula1>#REF!</formula1>
    </dataValidation>
  </dataValidations>
  <pageMargins left="0.7" right="0.7" top="0.75" bottom="0.75" header="0.3" footer="0.3"/>
  <pageSetup scale="31" fitToHeight="0" orientation="landscape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U8"/>
  <sheetViews>
    <sheetView rightToLeft="1" topLeftCell="L1" workbookViewId="0">
      <selection activeCell="Q13" sqref="Q13"/>
    </sheetView>
  </sheetViews>
  <sheetFormatPr baseColWidth="10" defaultRowHeight="15" x14ac:dyDescent="0.25"/>
  <cols>
    <col min="1" max="1" width="10.42578125" bestFit="1" customWidth="1"/>
    <col min="2" max="2" width="23.42578125" bestFit="1" customWidth="1"/>
    <col min="3" max="3" width="18.28515625" bestFit="1" customWidth="1"/>
    <col min="4" max="4" width="17.5703125" bestFit="1" customWidth="1"/>
    <col min="5" max="5" width="20.140625" bestFit="1" customWidth="1"/>
    <col min="6" max="6" width="10.42578125" bestFit="1" customWidth="1"/>
    <col min="7" max="7" width="19.42578125" bestFit="1" customWidth="1"/>
    <col min="8" max="8" width="17.85546875" bestFit="1" customWidth="1"/>
    <col min="9" max="15" width="19.42578125" bestFit="1" customWidth="1"/>
    <col min="16" max="16" width="21" bestFit="1" customWidth="1"/>
    <col min="17" max="17" width="19.42578125" bestFit="1" customWidth="1"/>
    <col min="19" max="19" width="25.5703125" bestFit="1" customWidth="1"/>
    <col min="20" max="20" width="23.5703125" bestFit="1" customWidth="1"/>
  </cols>
  <sheetData>
    <row r="2" spans="1:21" ht="21.75" thickBot="1" x14ac:dyDescent="0.3">
      <c r="A2" s="11" t="s">
        <v>0</v>
      </c>
      <c r="B2" s="12" t="s">
        <v>133</v>
      </c>
      <c r="C2" s="12" t="s">
        <v>2</v>
      </c>
      <c r="D2" s="12" t="s">
        <v>3</v>
      </c>
      <c r="E2" s="12" t="s">
        <v>4</v>
      </c>
      <c r="F2" s="12" t="s">
        <v>5</v>
      </c>
      <c r="G2" s="13" t="s">
        <v>135</v>
      </c>
      <c r="H2" s="11" t="s">
        <v>7</v>
      </c>
      <c r="I2" s="12" t="s">
        <v>8</v>
      </c>
      <c r="J2" s="12" t="s">
        <v>9</v>
      </c>
      <c r="K2" s="12" t="s">
        <v>10</v>
      </c>
      <c r="L2" s="12" t="s">
        <v>11</v>
      </c>
      <c r="M2" s="12" t="s">
        <v>12</v>
      </c>
      <c r="N2" s="13" t="s">
        <v>13</v>
      </c>
      <c r="O2" s="11" t="s">
        <v>14</v>
      </c>
      <c r="P2" s="12" t="s">
        <v>15</v>
      </c>
      <c r="Q2" s="12" t="s">
        <v>16</v>
      </c>
      <c r="R2" s="12" t="s">
        <v>17</v>
      </c>
      <c r="S2" s="12" t="s">
        <v>75</v>
      </c>
      <c r="T2" s="12" t="s">
        <v>21</v>
      </c>
      <c r="U2" s="12" t="s">
        <v>243</v>
      </c>
    </row>
    <row r="3" spans="1:21" ht="24" x14ac:dyDescent="0.25">
      <c r="A3" s="85">
        <v>5</v>
      </c>
      <c r="B3" s="85" t="s">
        <v>198</v>
      </c>
      <c r="C3" s="92">
        <v>32811</v>
      </c>
      <c r="D3" s="85" t="s">
        <v>212</v>
      </c>
      <c r="E3" s="91">
        <v>45962</v>
      </c>
      <c r="F3" s="93" t="s">
        <v>199</v>
      </c>
      <c r="G3" s="94">
        <v>5000</v>
      </c>
      <c r="H3" s="95"/>
      <c r="I3" s="96"/>
      <c r="J3" s="120">
        <v>10000</v>
      </c>
      <c r="K3" s="120">
        <v>10000</v>
      </c>
      <c r="L3" s="120">
        <v>10000</v>
      </c>
      <c r="M3" s="120">
        <v>10000</v>
      </c>
      <c r="N3" s="120">
        <v>10000</v>
      </c>
      <c r="O3" s="120">
        <v>11000</v>
      </c>
      <c r="P3" s="120">
        <v>10000</v>
      </c>
      <c r="Q3" s="120">
        <v>10000</v>
      </c>
      <c r="R3" s="83"/>
      <c r="S3" s="90"/>
      <c r="T3" s="107">
        <f>SUM(entraîneur[[#This Row],[حقوق المدرب]:[جويلية]])</f>
        <v>86000</v>
      </c>
      <c r="U3" s="29"/>
    </row>
    <row r="4" spans="1:21" ht="24" x14ac:dyDescent="0.25">
      <c r="A4" s="85">
        <v>4</v>
      </c>
      <c r="B4" s="85" t="s">
        <v>167</v>
      </c>
      <c r="C4" s="92">
        <v>34364</v>
      </c>
      <c r="D4" s="85" t="s">
        <v>37</v>
      </c>
      <c r="E4" s="91">
        <v>45919</v>
      </c>
      <c r="F4" s="93" t="s">
        <v>169</v>
      </c>
      <c r="G4" s="94">
        <v>5000</v>
      </c>
      <c r="H4" s="119"/>
      <c r="I4" s="120">
        <v>5000</v>
      </c>
      <c r="J4" s="120">
        <v>6000</v>
      </c>
      <c r="K4" s="120">
        <v>7000</v>
      </c>
      <c r="L4" s="120">
        <v>10000</v>
      </c>
      <c r="M4" s="120">
        <v>10000</v>
      </c>
      <c r="N4" s="120">
        <v>10000</v>
      </c>
      <c r="O4" s="120">
        <v>11000</v>
      </c>
      <c r="P4" s="120">
        <v>10000</v>
      </c>
      <c r="Q4" s="120">
        <v>10000</v>
      </c>
      <c r="R4" s="83"/>
      <c r="S4" s="84"/>
      <c r="T4" s="107">
        <f>SUM(entraîneur[[#This Row],[حقوق المدرب]:[جويلية]])</f>
        <v>84000</v>
      </c>
      <c r="U4" s="29"/>
    </row>
    <row r="5" spans="1:21" ht="24" x14ac:dyDescent="0.25">
      <c r="A5" s="97">
        <v>3</v>
      </c>
      <c r="B5" s="98" t="s">
        <v>126</v>
      </c>
      <c r="C5" s="99">
        <v>34151</v>
      </c>
      <c r="D5" s="100" t="s">
        <v>37</v>
      </c>
      <c r="E5" s="99">
        <v>45899</v>
      </c>
      <c r="F5" s="101" t="s">
        <v>166</v>
      </c>
      <c r="G5" s="102">
        <v>5000</v>
      </c>
      <c r="H5" s="102"/>
      <c r="I5" s="102">
        <v>10000</v>
      </c>
      <c r="J5" s="102">
        <v>10000</v>
      </c>
      <c r="K5" s="102">
        <v>10000</v>
      </c>
      <c r="L5" s="34">
        <v>10000</v>
      </c>
      <c r="M5" s="34">
        <v>10000</v>
      </c>
      <c r="N5" s="34">
        <v>10000</v>
      </c>
      <c r="O5" s="34">
        <v>11000</v>
      </c>
      <c r="P5" s="34">
        <v>10000</v>
      </c>
      <c r="Q5" s="34">
        <v>10000</v>
      </c>
      <c r="R5" s="34"/>
      <c r="S5" s="61"/>
      <c r="T5" s="108">
        <f>SUM(entraîneur[[#This Row],[حقوق المدرب]:[جويلية]])</f>
        <v>96000</v>
      </c>
      <c r="U5" s="29"/>
    </row>
    <row r="6" spans="1:21" ht="24" x14ac:dyDescent="0.25">
      <c r="A6" s="97">
        <v>2</v>
      </c>
      <c r="B6" s="98" t="s">
        <v>211</v>
      </c>
      <c r="C6" s="99">
        <v>35683</v>
      </c>
      <c r="D6" s="100" t="s">
        <v>37</v>
      </c>
      <c r="E6" s="99">
        <v>45919</v>
      </c>
      <c r="F6" s="101" t="s">
        <v>134</v>
      </c>
      <c r="G6" s="102">
        <v>5000</v>
      </c>
      <c r="H6" s="102"/>
      <c r="I6" s="102">
        <v>10000</v>
      </c>
      <c r="J6" s="102">
        <v>10000</v>
      </c>
      <c r="K6" s="102">
        <v>10000</v>
      </c>
      <c r="L6" s="34">
        <v>10000</v>
      </c>
      <c r="M6" s="34">
        <v>10000</v>
      </c>
      <c r="N6" s="34">
        <v>10000</v>
      </c>
      <c r="O6" s="34">
        <v>7000</v>
      </c>
      <c r="P6" s="34">
        <v>10000</v>
      </c>
      <c r="Q6" s="34">
        <v>10000</v>
      </c>
      <c r="R6" s="34"/>
      <c r="S6" s="61"/>
      <c r="T6" s="108">
        <f>SUM(entraîneur[[#This Row],[حقوق المدرب]:[جويلية]])</f>
        <v>92000</v>
      </c>
      <c r="U6" s="29"/>
    </row>
    <row r="7" spans="1:21" ht="24" x14ac:dyDescent="0.25">
      <c r="A7" s="97">
        <v>1</v>
      </c>
      <c r="B7" s="103" t="s">
        <v>165</v>
      </c>
      <c r="C7" s="104">
        <v>37004</v>
      </c>
      <c r="D7" s="105" t="s">
        <v>39</v>
      </c>
      <c r="E7" s="104">
        <v>45919</v>
      </c>
      <c r="F7" s="101" t="s">
        <v>200</v>
      </c>
      <c r="G7" s="106">
        <v>5000</v>
      </c>
      <c r="H7" s="106"/>
      <c r="I7" s="102">
        <v>10000</v>
      </c>
      <c r="J7" s="102">
        <v>10000</v>
      </c>
      <c r="K7" s="102">
        <v>10000</v>
      </c>
      <c r="L7" s="34">
        <v>7000</v>
      </c>
      <c r="M7" s="34">
        <v>9000</v>
      </c>
      <c r="N7" s="34">
        <v>8000</v>
      </c>
      <c r="O7" s="34">
        <v>9000</v>
      </c>
      <c r="P7" s="34">
        <v>11000</v>
      </c>
      <c r="Q7" s="34">
        <v>10000</v>
      </c>
      <c r="R7" s="34"/>
      <c r="S7" s="61"/>
      <c r="T7" s="108">
        <f>SUM(entraîneur[[#This Row],[حقوق المدرب]:[جويلية]])</f>
        <v>89000</v>
      </c>
      <c r="U7" s="29"/>
    </row>
    <row r="8" spans="1:21" ht="21" x14ac:dyDescent="0.35">
      <c r="A8" s="88" t="s">
        <v>74</v>
      </c>
      <c r="B8" s="88">
        <f>SUBTOTAL(103,entraîneur[الاسم واللقب المدرب])</f>
        <v>5</v>
      </c>
      <c r="C8" s="88">
        <f>SUBTOTAL(103,entraîneur[تاريخ الميلاد])</f>
        <v>5</v>
      </c>
      <c r="D8" s="88">
        <f>SUBTOTAL(103,entraîneur[مكان الميلاد])</f>
        <v>5</v>
      </c>
      <c r="E8" s="88">
        <f>SUBTOTAL(103,entraîneur[تاريخ التسجيل])</f>
        <v>5</v>
      </c>
      <c r="F8" s="88"/>
      <c r="G8" s="89">
        <f>SUBTOTAL(109,entraîneur[حقوق المدرب])</f>
        <v>25000</v>
      </c>
      <c r="H8" s="89">
        <f>SUBTOTAL(109,entraîneur[سبتمبر])</f>
        <v>0</v>
      </c>
      <c r="I8" s="89">
        <f>SUBTOTAL(109,entraîneur[أكتوبر])</f>
        <v>35000</v>
      </c>
      <c r="J8" s="89">
        <f>SUBTOTAL(109,entraîneur[نوفمبر])</f>
        <v>46000</v>
      </c>
      <c r="K8" s="89">
        <f>SUBTOTAL(109,entraîneur[ديسمبر])</f>
        <v>47000</v>
      </c>
      <c r="L8" s="89">
        <f>SUBTOTAL(109,entraîneur[جانفي])</f>
        <v>47000</v>
      </c>
      <c r="M8" s="89">
        <f>SUBTOTAL(109,entraîneur[فيفري])</f>
        <v>49000</v>
      </c>
      <c r="N8" s="89">
        <f>SUBTOTAL(109,entraîneur[مارس])</f>
        <v>48000</v>
      </c>
      <c r="O8" s="89">
        <f>SUBTOTAL(109,entraîneur[افريل])</f>
        <v>49000</v>
      </c>
      <c r="P8" s="89">
        <f>SUBTOTAL(109,entraîneur[[ماي ]])</f>
        <v>51000</v>
      </c>
      <c r="Q8" s="89">
        <f>SUBTOTAL(109,entraîneur[جوان])</f>
        <v>50000</v>
      </c>
      <c r="R8" s="89">
        <f>SUBTOTAL(109,entraîneur[جويلية])</f>
        <v>0</v>
      </c>
      <c r="S8" s="89"/>
      <c r="T8" s="89">
        <f>SUBTOTAL(109,entraîneur[Total])</f>
        <v>447000</v>
      </c>
      <c r="U8" s="88" t="s">
        <v>242</v>
      </c>
    </row>
  </sheetData>
  <conditionalFormatting sqref="C3:E7 G3:S7">
    <cfRule type="cellIs" dxfId="60" priority="49" operator="equal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3:U38"/>
  <sheetViews>
    <sheetView topLeftCell="I3" zoomScale="85" zoomScaleNormal="85" workbookViewId="0">
      <selection activeCell="U10" sqref="U10"/>
    </sheetView>
  </sheetViews>
  <sheetFormatPr baseColWidth="10" defaultRowHeight="15" x14ac:dyDescent="0.25"/>
  <cols>
    <col min="1" max="2" width="22" bestFit="1" customWidth="1"/>
    <col min="3" max="3" width="12" bestFit="1" customWidth="1"/>
    <col min="4" max="7" width="22" bestFit="1" customWidth="1"/>
    <col min="8" max="8" width="12" bestFit="1" customWidth="1"/>
    <col min="9" max="9" width="22" bestFit="1" customWidth="1"/>
    <col min="13" max="13" width="22" bestFit="1" customWidth="1"/>
    <col min="14" max="14" width="12" bestFit="1" customWidth="1"/>
    <col min="15" max="15" width="22" bestFit="1" customWidth="1"/>
    <col min="20" max="20" width="12" bestFit="1" customWidth="1"/>
    <col min="21" max="21" width="22" bestFit="1" customWidth="1"/>
  </cols>
  <sheetData>
    <row r="3" spans="1:21" x14ac:dyDescent="0.25">
      <c r="A3" s="4" t="s">
        <v>5</v>
      </c>
      <c r="B3" s="4" t="s">
        <v>1</v>
      </c>
      <c r="C3" s="4" t="s">
        <v>2</v>
      </c>
      <c r="D3" t="s">
        <v>29</v>
      </c>
      <c r="F3" s="4" t="s">
        <v>5</v>
      </c>
      <c r="G3" s="4" t="s">
        <v>1</v>
      </c>
      <c r="H3" s="4" t="s">
        <v>2</v>
      </c>
      <c r="I3" t="s">
        <v>29</v>
      </c>
      <c r="L3" s="4" t="s">
        <v>5</v>
      </c>
      <c r="M3" s="4" t="s">
        <v>1</v>
      </c>
      <c r="N3" s="4" t="s">
        <v>2</v>
      </c>
      <c r="O3" t="s">
        <v>29</v>
      </c>
      <c r="R3" s="4" t="s">
        <v>5</v>
      </c>
      <c r="S3" s="4" t="s">
        <v>1</v>
      </c>
      <c r="T3" s="4" t="s">
        <v>2</v>
      </c>
      <c r="U3" t="s">
        <v>29</v>
      </c>
    </row>
    <row r="4" spans="1:21" x14ac:dyDescent="0.25">
      <c r="A4" t="s">
        <v>22</v>
      </c>
      <c r="B4" t="s">
        <v>34</v>
      </c>
      <c r="C4" s="25">
        <v>41331</v>
      </c>
      <c r="D4">
        <v>4000</v>
      </c>
      <c r="F4" t="s">
        <v>23</v>
      </c>
      <c r="G4" t="s">
        <v>35</v>
      </c>
      <c r="H4" s="25">
        <v>42531</v>
      </c>
      <c r="I4">
        <v>4000</v>
      </c>
      <c r="L4" t="s">
        <v>24</v>
      </c>
      <c r="M4" t="s">
        <v>30</v>
      </c>
      <c r="N4" s="25">
        <v>43123</v>
      </c>
      <c r="O4">
        <v>12000</v>
      </c>
      <c r="R4" t="s">
        <v>25</v>
      </c>
      <c r="S4" t="s">
        <v>124</v>
      </c>
      <c r="T4" s="25">
        <v>43766</v>
      </c>
      <c r="U4">
        <v>4000</v>
      </c>
    </row>
    <row r="5" spans="1:21" x14ac:dyDescent="0.25">
      <c r="A5" t="s">
        <v>22</v>
      </c>
      <c r="B5" t="s">
        <v>36</v>
      </c>
      <c r="C5" s="25">
        <v>41965</v>
      </c>
      <c r="D5">
        <v>4000</v>
      </c>
      <c r="F5" t="s">
        <v>23</v>
      </c>
      <c r="G5" t="s">
        <v>122</v>
      </c>
      <c r="H5" s="25">
        <v>42298</v>
      </c>
      <c r="I5">
        <v>4000</v>
      </c>
      <c r="L5" t="s">
        <v>24</v>
      </c>
      <c r="M5" t="s">
        <v>31</v>
      </c>
      <c r="N5" s="25">
        <v>43195</v>
      </c>
      <c r="O5">
        <v>4000</v>
      </c>
      <c r="R5" t="s">
        <v>25</v>
      </c>
      <c r="S5" t="s">
        <v>109</v>
      </c>
      <c r="T5" s="25">
        <v>43740</v>
      </c>
      <c r="U5">
        <v>4000</v>
      </c>
    </row>
    <row r="6" spans="1:21" x14ac:dyDescent="0.25">
      <c r="A6" t="s">
        <v>22</v>
      </c>
      <c r="B6" t="s">
        <v>125</v>
      </c>
      <c r="C6" s="25">
        <v>41337</v>
      </c>
      <c r="D6">
        <v>4000</v>
      </c>
      <c r="F6" t="s">
        <v>23</v>
      </c>
      <c r="G6" t="s">
        <v>121</v>
      </c>
      <c r="H6" s="25">
        <v>42668</v>
      </c>
      <c r="I6">
        <v>4000</v>
      </c>
      <c r="L6" t="s">
        <v>24</v>
      </c>
      <c r="M6" t="s">
        <v>33</v>
      </c>
      <c r="N6" s="25">
        <v>43005</v>
      </c>
      <c r="O6">
        <v>5500</v>
      </c>
      <c r="R6" t="s">
        <v>25</v>
      </c>
      <c r="S6" t="s">
        <v>93</v>
      </c>
      <c r="T6" s="25">
        <v>43484</v>
      </c>
      <c r="U6">
        <v>4000</v>
      </c>
    </row>
    <row r="7" spans="1:21" x14ac:dyDescent="0.25">
      <c r="A7" t="s">
        <v>22</v>
      </c>
      <c r="B7" t="s">
        <v>117</v>
      </c>
      <c r="C7" s="25">
        <v>41360</v>
      </c>
      <c r="D7">
        <v>4000</v>
      </c>
      <c r="F7" t="s">
        <v>23</v>
      </c>
      <c r="G7" t="s">
        <v>120</v>
      </c>
      <c r="H7" s="25">
        <v>42010</v>
      </c>
      <c r="I7">
        <v>4000</v>
      </c>
      <c r="L7" t="s">
        <v>24</v>
      </c>
      <c r="M7" t="s">
        <v>38</v>
      </c>
      <c r="N7" s="25">
        <v>43049</v>
      </c>
      <c r="O7">
        <v>4000</v>
      </c>
      <c r="R7" t="s">
        <v>25</v>
      </c>
      <c r="S7" t="s">
        <v>77</v>
      </c>
      <c r="T7" s="25">
        <v>43706</v>
      </c>
      <c r="U7">
        <v>4000</v>
      </c>
    </row>
    <row r="8" spans="1:21" x14ac:dyDescent="0.25">
      <c r="A8" t="s">
        <v>22</v>
      </c>
      <c r="B8" t="s">
        <v>112</v>
      </c>
      <c r="C8" s="25">
        <v>41319</v>
      </c>
      <c r="D8">
        <v>4000</v>
      </c>
      <c r="F8" t="s">
        <v>23</v>
      </c>
      <c r="G8" t="s">
        <v>119</v>
      </c>
      <c r="H8" s="25">
        <v>42445</v>
      </c>
      <c r="I8">
        <v>4000</v>
      </c>
      <c r="L8" t="s">
        <v>24</v>
      </c>
      <c r="M8" t="s">
        <v>40</v>
      </c>
      <c r="N8" s="25">
        <v>43451</v>
      </c>
      <c r="O8">
        <v>4000</v>
      </c>
      <c r="R8" t="s">
        <v>25</v>
      </c>
      <c r="S8" t="s">
        <v>162</v>
      </c>
      <c r="T8" s="25">
        <v>43961</v>
      </c>
      <c r="U8">
        <v>4000</v>
      </c>
    </row>
    <row r="9" spans="1:21" x14ac:dyDescent="0.25">
      <c r="A9" t="s">
        <v>22</v>
      </c>
      <c r="B9" t="s">
        <v>111</v>
      </c>
      <c r="C9" s="25">
        <v>41532</v>
      </c>
      <c r="D9">
        <v>4000</v>
      </c>
      <c r="F9" t="s">
        <v>23</v>
      </c>
      <c r="G9" t="s">
        <v>118</v>
      </c>
      <c r="H9" s="25">
        <v>42260</v>
      </c>
      <c r="I9">
        <v>4000</v>
      </c>
      <c r="L9" t="s">
        <v>24</v>
      </c>
      <c r="M9" t="s">
        <v>123</v>
      </c>
      <c r="N9" s="25">
        <v>43246</v>
      </c>
      <c r="O9">
        <v>4000</v>
      </c>
      <c r="R9" t="s">
        <v>25</v>
      </c>
      <c r="S9" t="s">
        <v>160</v>
      </c>
      <c r="T9" s="25">
        <v>43824</v>
      </c>
      <c r="U9">
        <v>4000</v>
      </c>
    </row>
    <row r="10" spans="1:21" x14ac:dyDescent="0.25">
      <c r="A10" t="s">
        <v>22</v>
      </c>
      <c r="B10" t="s">
        <v>110</v>
      </c>
      <c r="C10" s="25">
        <v>41394</v>
      </c>
      <c r="D10">
        <v>4000</v>
      </c>
      <c r="F10" t="s">
        <v>23</v>
      </c>
      <c r="G10" t="s">
        <v>103</v>
      </c>
      <c r="H10" s="25">
        <v>42218</v>
      </c>
      <c r="I10">
        <v>4000</v>
      </c>
      <c r="L10" t="s">
        <v>24</v>
      </c>
      <c r="M10" t="s">
        <v>116</v>
      </c>
      <c r="N10" s="25">
        <v>42778</v>
      </c>
      <c r="O10">
        <v>4000</v>
      </c>
      <c r="R10" t="s">
        <v>25</v>
      </c>
      <c r="S10" t="s">
        <v>142</v>
      </c>
      <c r="T10" s="25">
        <v>43778</v>
      </c>
      <c r="U10">
        <v>4000</v>
      </c>
    </row>
    <row r="11" spans="1:21" x14ac:dyDescent="0.25">
      <c r="A11" t="s">
        <v>22</v>
      </c>
      <c r="B11" t="s">
        <v>107</v>
      </c>
      <c r="C11" s="25">
        <v>41857</v>
      </c>
      <c r="D11">
        <v>4000</v>
      </c>
      <c r="F11" t="s">
        <v>23</v>
      </c>
      <c r="G11" t="s">
        <v>89</v>
      </c>
      <c r="H11" s="25">
        <v>42414</v>
      </c>
      <c r="I11">
        <v>4000</v>
      </c>
      <c r="L11" t="s">
        <v>24</v>
      </c>
      <c r="M11" t="s">
        <v>115</v>
      </c>
      <c r="N11" s="25">
        <v>43399</v>
      </c>
      <c r="O11">
        <v>4000</v>
      </c>
      <c r="R11" t="s">
        <v>25</v>
      </c>
      <c r="S11" t="s">
        <v>141</v>
      </c>
      <c r="T11" s="25">
        <v>44056</v>
      </c>
      <c r="U11">
        <v>4000</v>
      </c>
    </row>
    <row r="12" spans="1:21" x14ac:dyDescent="0.25">
      <c r="A12" t="s">
        <v>22</v>
      </c>
      <c r="B12" t="s">
        <v>106</v>
      </c>
      <c r="C12" s="25">
        <v>41478</v>
      </c>
      <c r="D12">
        <v>4000</v>
      </c>
      <c r="F12" t="s">
        <v>23</v>
      </c>
      <c r="G12" t="s">
        <v>85</v>
      </c>
      <c r="H12" s="25">
        <v>42139</v>
      </c>
      <c r="I12">
        <v>4000</v>
      </c>
      <c r="L12" t="s">
        <v>24</v>
      </c>
      <c r="M12" t="s">
        <v>113</v>
      </c>
      <c r="N12" s="25">
        <v>42974</v>
      </c>
      <c r="O12">
        <v>4000</v>
      </c>
      <c r="R12" t="s">
        <v>20</v>
      </c>
      <c r="U12">
        <v>32000</v>
      </c>
    </row>
    <row r="13" spans="1:21" x14ac:dyDescent="0.25">
      <c r="A13" t="s">
        <v>22</v>
      </c>
      <c r="B13" t="s">
        <v>105</v>
      </c>
      <c r="C13" s="25">
        <v>41712</v>
      </c>
      <c r="D13">
        <v>4000</v>
      </c>
      <c r="F13" t="s">
        <v>23</v>
      </c>
      <c r="G13" t="s">
        <v>83</v>
      </c>
      <c r="H13" s="25">
        <v>42680</v>
      </c>
      <c r="I13">
        <v>4000</v>
      </c>
      <c r="L13" t="s">
        <v>24</v>
      </c>
      <c r="M13" t="s">
        <v>108</v>
      </c>
      <c r="N13" s="25">
        <v>42970</v>
      </c>
      <c r="O13">
        <v>4000</v>
      </c>
    </row>
    <row r="14" spans="1:21" x14ac:dyDescent="0.25">
      <c r="A14" t="s">
        <v>22</v>
      </c>
      <c r="B14" t="s">
        <v>104</v>
      </c>
      <c r="C14" s="25">
        <v>41944</v>
      </c>
      <c r="D14">
        <v>4000</v>
      </c>
      <c r="F14" t="s">
        <v>23</v>
      </c>
      <c r="G14" t="s">
        <v>97</v>
      </c>
      <c r="H14" s="25">
        <v>42536</v>
      </c>
      <c r="I14">
        <v>4000</v>
      </c>
      <c r="L14" t="s">
        <v>24</v>
      </c>
      <c r="M14" t="s">
        <v>102</v>
      </c>
      <c r="N14" s="25">
        <v>42761</v>
      </c>
      <c r="O14">
        <v>4000</v>
      </c>
    </row>
    <row r="15" spans="1:21" x14ac:dyDescent="0.25">
      <c r="A15" t="s">
        <v>22</v>
      </c>
      <c r="B15" t="s">
        <v>96</v>
      </c>
      <c r="C15" s="25">
        <v>41684</v>
      </c>
      <c r="D15">
        <v>4000</v>
      </c>
      <c r="F15" t="s">
        <v>23</v>
      </c>
      <c r="G15" t="s">
        <v>91</v>
      </c>
      <c r="H15" s="25">
        <v>42103</v>
      </c>
      <c r="I15">
        <v>4000</v>
      </c>
      <c r="L15" t="s">
        <v>24</v>
      </c>
      <c r="M15" t="s">
        <v>100</v>
      </c>
      <c r="N15" s="25">
        <v>42898</v>
      </c>
      <c r="O15">
        <v>4000</v>
      </c>
    </row>
    <row r="16" spans="1:21" x14ac:dyDescent="0.25">
      <c r="A16" t="s">
        <v>22</v>
      </c>
      <c r="B16" t="s">
        <v>95</v>
      </c>
      <c r="C16" s="25">
        <v>41699</v>
      </c>
      <c r="D16">
        <v>4000</v>
      </c>
      <c r="F16" t="s">
        <v>23</v>
      </c>
      <c r="G16" t="s">
        <v>192</v>
      </c>
      <c r="H16" s="25">
        <v>42256</v>
      </c>
      <c r="I16">
        <v>4000</v>
      </c>
      <c r="L16" t="s">
        <v>24</v>
      </c>
      <c r="M16" t="s">
        <v>99</v>
      </c>
      <c r="N16" s="25">
        <v>42826</v>
      </c>
      <c r="O16">
        <v>4000</v>
      </c>
    </row>
    <row r="17" spans="1:15" x14ac:dyDescent="0.25">
      <c r="A17" t="s">
        <v>22</v>
      </c>
      <c r="B17" t="s">
        <v>94</v>
      </c>
      <c r="C17" s="25">
        <v>41726</v>
      </c>
      <c r="D17">
        <v>2000</v>
      </c>
      <c r="F17" t="s">
        <v>23</v>
      </c>
      <c r="G17" t="s">
        <v>170</v>
      </c>
      <c r="H17" s="25">
        <v>42591</v>
      </c>
      <c r="I17">
        <v>4000</v>
      </c>
      <c r="L17" t="s">
        <v>24</v>
      </c>
      <c r="M17" t="s">
        <v>90</v>
      </c>
      <c r="N17" s="25">
        <v>43057</v>
      </c>
      <c r="O17">
        <v>4000</v>
      </c>
    </row>
    <row r="18" spans="1:15" x14ac:dyDescent="0.25">
      <c r="A18" t="s">
        <v>22</v>
      </c>
      <c r="B18" t="s">
        <v>87</v>
      </c>
      <c r="C18" s="25">
        <v>41959</v>
      </c>
      <c r="D18">
        <v>4000</v>
      </c>
      <c r="F18" t="s">
        <v>23</v>
      </c>
      <c r="G18" t="s">
        <v>184</v>
      </c>
      <c r="H18" s="25">
        <v>42316</v>
      </c>
      <c r="I18">
        <v>4000</v>
      </c>
      <c r="L18" t="s">
        <v>24</v>
      </c>
      <c r="M18" t="s">
        <v>193</v>
      </c>
      <c r="N18" s="25">
        <v>43282</v>
      </c>
      <c r="O18">
        <v>4000</v>
      </c>
    </row>
    <row r="19" spans="1:15" x14ac:dyDescent="0.25">
      <c r="A19" t="s">
        <v>22</v>
      </c>
      <c r="B19" t="s">
        <v>98</v>
      </c>
      <c r="C19" s="25">
        <v>41457</v>
      </c>
      <c r="D19">
        <v>4000</v>
      </c>
      <c r="F19" t="s">
        <v>23</v>
      </c>
      <c r="G19" t="s">
        <v>159</v>
      </c>
      <c r="H19" s="25">
        <v>42011</v>
      </c>
      <c r="I19">
        <v>4000</v>
      </c>
      <c r="L19" t="s">
        <v>24</v>
      </c>
      <c r="M19" t="s">
        <v>154</v>
      </c>
      <c r="N19" s="25">
        <v>43234</v>
      </c>
      <c r="O19">
        <v>4000</v>
      </c>
    </row>
    <row r="20" spans="1:15" x14ac:dyDescent="0.25">
      <c r="A20" t="s">
        <v>22</v>
      </c>
      <c r="B20" t="s">
        <v>78</v>
      </c>
      <c r="C20" s="25">
        <v>41891</v>
      </c>
      <c r="D20">
        <v>4000</v>
      </c>
      <c r="F20" t="s">
        <v>23</v>
      </c>
      <c r="G20" t="s">
        <v>164</v>
      </c>
      <c r="H20" s="25">
        <v>42430</v>
      </c>
      <c r="I20">
        <v>4000</v>
      </c>
      <c r="L20" t="s">
        <v>24</v>
      </c>
      <c r="M20" t="s">
        <v>127</v>
      </c>
      <c r="N20" s="25">
        <v>43018</v>
      </c>
      <c r="O20">
        <v>4000</v>
      </c>
    </row>
    <row r="21" spans="1:15" x14ac:dyDescent="0.25">
      <c r="A21" t="s">
        <v>22</v>
      </c>
      <c r="B21" t="s">
        <v>188</v>
      </c>
      <c r="C21" s="25">
        <v>41640</v>
      </c>
      <c r="D21">
        <v>4000</v>
      </c>
      <c r="F21" t="s">
        <v>23</v>
      </c>
      <c r="G21" t="s">
        <v>155</v>
      </c>
      <c r="H21" s="25">
        <v>42512</v>
      </c>
      <c r="I21">
        <v>4000</v>
      </c>
      <c r="L21" t="s">
        <v>24</v>
      </c>
      <c r="M21" t="s">
        <v>205</v>
      </c>
      <c r="N21" s="25">
        <v>43128</v>
      </c>
    </row>
    <row r="22" spans="1:15" x14ac:dyDescent="0.25">
      <c r="A22" t="s">
        <v>22</v>
      </c>
      <c r="B22" t="s">
        <v>187</v>
      </c>
      <c r="C22" s="25">
        <v>41808</v>
      </c>
      <c r="D22">
        <v>4000</v>
      </c>
      <c r="F22" t="s">
        <v>23</v>
      </c>
      <c r="G22" t="s">
        <v>153</v>
      </c>
      <c r="H22" s="25">
        <v>42543</v>
      </c>
      <c r="I22">
        <v>4000</v>
      </c>
      <c r="L22" t="s">
        <v>24</v>
      </c>
      <c r="M22" t="s">
        <v>201</v>
      </c>
      <c r="N22" s="25">
        <v>42874</v>
      </c>
      <c r="O22">
        <v>4000</v>
      </c>
    </row>
    <row r="23" spans="1:15" x14ac:dyDescent="0.25">
      <c r="A23" t="s">
        <v>22</v>
      </c>
      <c r="B23" t="s">
        <v>168</v>
      </c>
      <c r="C23" s="25">
        <v>41746</v>
      </c>
      <c r="D23">
        <v>4000</v>
      </c>
      <c r="F23" t="s">
        <v>23</v>
      </c>
      <c r="G23" t="s">
        <v>151</v>
      </c>
      <c r="H23" s="25">
        <v>42169</v>
      </c>
      <c r="I23">
        <v>4000</v>
      </c>
      <c r="L23" t="s">
        <v>20</v>
      </c>
      <c r="O23">
        <v>81500</v>
      </c>
    </row>
    <row r="24" spans="1:15" x14ac:dyDescent="0.25">
      <c r="A24" t="s">
        <v>22</v>
      </c>
      <c r="B24" t="s">
        <v>157</v>
      </c>
      <c r="C24" s="25">
        <v>41722</v>
      </c>
      <c r="D24">
        <v>4000</v>
      </c>
      <c r="F24" t="s">
        <v>23</v>
      </c>
      <c r="G24" t="s">
        <v>137</v>
      </c>
      <c r="H24" s="25">
        <v>42459</v>
      </c>
      <c r="I24">
        <v>4000</v>
      </c>
    </row>
    <row r="25" spans="1:15" x14ac:dyDescent="0.25">
      <c r="A25" t="s">
        <v>22</v>
      </c>
      <c r="B25" t="s">
        <v>156</v>
      </c>
      <c r="C25" s="25">
        <v>41487</v>
      </c>
      <c r="D25">
        <v>4000</v>
      </c>
      <c r="F25" t="s">
        <v>23</v>
      </c>
      <c r="G25" t="s">
        <v>130</v>
      </c>
      <c r="H25" s="25">
        <v>42437</v>
      </c>
      <c r="I25">
        <v>4000</v>
      </c>
    </row>
    <row r="26" spans="1:15" x14ac:dyDescent="0.25">
      <c r="A26" t="s">
        <v>22</v>
      </c>
      <c r="B26" t="s">
        <v>149</v>
      </c>
      <c r="C26" s="25">
        <v>41490</v>
      </c>
      <c r="D26">
        <v>4000</v>
      </c>
      <c r="F26" t="s">
        <v>23</v>
      </c>
      <c r="G26" t="s">
        <v>161</v>
      </c>
      <c r="H26" s="25">
        <v>42589</v>
      </c>
      <c r="I26">
        <v>4000</v>
      </c>
    </row>
    <row r="27" spans="1:15" x14ac:dyDescent="0.25">
      <c r="A27" t="s">
        <v>22</v>
      </c>
      <c r="B27" t="s">
        <v>129</v>
      </c>
      <c r="C27" s="25">
        <v>41570</v>
      </c>
      <c r="D27">
        <v>4000</v>
      </c>
      <c r="F27" t="s">
        <v>23</v>
      </c>
      <c r="G27" t="s">
        <v>138</v>
      </c>
      <c r="H27" s="25">
        <v>42142</v>
      </c>
      <c r="I27">
        <v>4000</v>
      </c>
    </row>
    <row r="28" spans="1:15" x14ac:dyDescent="0.25">
      <c r="A28" t="s">
        <v>22</v>
      </c>
      <c r="B28" t="s">
        <v>128</v>
      </c>
      <c r="C28" s="25">
        <v>41585</v>
      </c>
      <c r="D28">
        <v>4000</v>
      </c>
      <c r="F28" t="s">
        <v>23</v>
      </c>
      <c r="G28" t="s">
        <v>207</v>
      </c>
      <c r="H28" s="25">
        <v>42188</v>
      </c>
      <c r="I28">
        <v>4000</v>
      </c>
    </row>
    <row r="29" spans="1:15" x14ac:dyDescent="0.25">
      <c r="A29" t="s">
        <v>22</v>
      </c>
      <c r="B29" t="s">
        <v>145</v>
      </c>
      <c r="C29" s="25">
        <v>41932</v>
      </c>
      <c r="D29">
        <v>4000</v>
      </c>
      <c r="F29" t="s">
        <v>20</v>
      </c>
      <c r="I29">
        <v>100000</v>
      </c>
    </row>
    <row r="30" spans="1:15" x14ac:dyDescent="0.25">
      <c r="A30" t="s">
        <v>22</v>
      </c>
      <c r="B30" t="s">
        <v>178</v>
      </c>
      <c r="C30" s="25">
        <v>41303</v>
      </c>
      <c r="D30">
        <v>4000</v>
      </c>
    </row>
    <row r="31" spans="1:15" x14ac:dyDescent="0.25">
      <c r="A31" t="s">
        <v>22</v>
      </c>
      <c r="B31" t="s">
        <v>194</v>
      </c>
      <c r="C31" s="25">
        <v>41699</v>
      </c>
      <c r="D31">
        <v>4000</v>
      </c>
    </row>
    <row r="32" spans="1:15" x14ac:dyDescent="0.25">
      <c r="A32" t="s">
        <v>22</v>
      </c>
      <c r="B32" t="s">
        <v>140</v>
      </c>
      <c r="C32" s="25">
        <v>41908</v>
      </c>
      <c r="D32">
        <v>4000</v>
      </c>
    </row>
    <row r="33" spans="1:4" x14ac:dyDescent="0.25">
      <c r="A33" t="s">
        <v>22</v>
      </c>
      <c r="B33" t="s">
        <v>139</v>
      </c>
      <c r="C33" s="25">
        <v>41911</v>
      </c>
      <c r="D33">
        <v>5500</v>
      </c>
    </row>
    <row r="34" spans="1:4" x14ac:dyDescent="0.25">
      <c r="A34" t="s">
        <v>22</v>
      </c>
      <c r="B34" t="s">
        <v>214</v>
      </c>
      <c r="C34" s="25">
        <v>41823</v>
      </c>
    </row>
    <row r="35" spans="1:4" x14ac:dyDescent="0.25">
      <c r="A35" t="s">
        <v>22</v>
      </c>
      <c r="B35" t="s">
        <v>204</v>
      </c>
      <c r="C35" s="25">
        <v>41836</v>
      </c>
    </row>
    <row r="36" spans="1:4" x14ac:dyDescent="0.25">
      <c r="A36" t="s">
        <v>22</v>
      </c>
      <c r="B36" t="s">
        <v>203</v>
      </c>
      <c r="C36" s="25">
        <v>41836</v>
      </c>
      <c r="D36">
        <v>4000</v>
      </c>
    </row>
    <row r="37" spans="1:4" x14ac:dyDescent="0.25">
      <c r="A37" t="s">
        <v>22</v>
      </c>
      <c r="B37" t="s">
        <v>202</v>
      </c>
      <c r="C37" s="25">
        <v>41861</v>
      </c>
      <c r="D37">
        <v>4000</v>
      </c>
    </row>
    <row r="38" spans="1:4" x14ac:dyDescent="0.25">
      <c r="A38" t="s">
        <v>20</v>
      </c>
      <c r="D38">
        <v>127500</v>
      </c>
    </row>
  </sheetData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31B75-0D69-4EA8-BCC9-3C23F0352F7C}">
  <dimension ref="F3:J24"/>
  <sheetViews>
    <sheetView topLeftCell="A6" workbookViewId="0">
      <selection activeCell="G6" sqref="G6"/>
    </sheetView>
  </sheetViews>
  <sheetFormatPr baseColWidth="10" defaultRowHeight="15" x14ac:dyDescent="0.25"/>
  <cols>
    <col min="5" max="5" width="3.140625" customWidth="1"/>
    <col min="6" max="6" width="15.140625" customWidth="1"/>
    <col min="7" max="7" width="16" customWidth="1"/>
    <col min="8" max="8" width="14.85546875" customWidth="1"/>
    <col min="9" max="9" width="18.85546875" customWidth="1"/>
    <col min="10" max="10" width="12.140625" customWidth="1"/>
  </cols>
  <sheetData>
    <row r="3" spans="6:10" x14ac:dyDescent="0.25">
      <c r="F3" s="86" t="s">
        <v>175</v>
      </c>
      <c r="G3" s="86" t="s">
        <v>174</v>
      </c>
      <c r="H3" s="86" t="s">
        <v>173</v>
      </c>
      <c r="I3" s="86" t="s">
        <v>171</v>
      </c>
      <c r="J3" s="86" t="s">
        <v>172</v>
      </c>
    </row>
    <row r="4" spans="6:10" x14ac:dyDescent="0.25">
      <c r="F4" s="86" t="s">
        <v>177</v>
      </c>
      <c r="G4" s="86" t="s">
        <v>176</v>
      </c>
      <c r="H4" s="87">
        <v>45969</v>
      </c>
      <c r="I4" s="86" t="s">
        <v>144</v>
      </c>
      <c r="J4" s="86">
        <v>1</v>
      </c>
    </row>
    <row r="5" spans="6:10" x14ac:dyDescent="0.25">
      <c r="F5" s="86"/>
      <c r="G5" s="86"/>
      <c r="H5" s="87">
        <v>45987</v>
      </c>
      <c r="I5" s="86" t="s">
        <v>209</v>
      </c>
      <c r="J5" s="86">
        <v>2</v>
      </c>
    </row>
    <row r="6" spans="6:10" x14ac:dyDescent="0.25">
      <c r="F6" s="86" t="s">
        <v>206</v>
      </c>
      <c r="G6" s="86">
        <v>8000</v>
      </c>
      <c r="H6" s="87">
        <v>46011</v>
      </c>
      <c r="I6" s="86" t="s">
        <v>37</v>
      </c>
      <c r="J6" s="86">
        <v>3</v>
      </c>
    </row>
    <row r="7" spans="6:10" x14ac:dyDescent="0.25">
      <c r="F7" s="86"/>
      <c r="G7" s="86"/>
      <c r="H7" s="87">
        <v>46017</v>
      </c>
      <c r="I7" s="86" t="s">
        <v>210</v>
      </c>
      <c r="J7" s="86">
        <v>4</v>
      </c>
    </row>
    <row r="8" spans="6:10" x14ac:dyDescent="0.25">
      <c r="F8" s="86"/>
      <c r="G8" s="86"/>
      <c r="H8" s="87">
        <v>46024</v>
      </c>
      <c r="I8" s="86" t="s">
        <v>144</v>
      </c>
      <c r="J8" s="86">
        <v>5</v>
      </c>
    </row>
    <row r="9" spans="6:10" x14ac:dyDescent="0.25">
      <c r="F9" s="86"/>
      <c r="G9" s="86"/>
      <c r="H9" s="87">
        <v>46025</v>
      </c>
      <c r="I9" s="86" t="s">
        <v>209</v>
      </c>
      <c r="J9" s="86">
        <v>6</v>
      </c>
    </row>
    <row r="10" spans="6:10" x14ac:dyDescent="0.25">
      <c r="F10" s="86" t="s">
        <v>206</v>
      </c>
      <c r="G10" s="86">
        <v>5000</v>
      </c>
      <c r="H10" s="87">
        <v>46032</v>
      </c>
      <c r="I10" s="86" t="s">
        <v>213</v>
      </c>
      <c r="J10" s="86">
        <v>7</v>
      </c>
    </row>
    <row r="11" spans="6:10" x14ac:dyDescent="0.25">
      <c r="F11" s="86" t="s">
        <v>206</v>
      </c>
      <c r="G11" s="86">
        <v>12000</v>
      </c>
      <c r="H11" s="87">
        <v>46052</v>
      </c>
      <c r="I11" s="86" t="s">
        <v>185</v>
      </c>
      <c r="J11" s="86">
        <v>8</v>
      </c>
    </row>
    <row r="12" spans="6:10" x14ac:dyDescent="0.25">
      <c r="F12" s="86" t="s">
        <v>206</v>
      </c>
      <c r="G12" s="86">
        <v>12000</v>
      </c>
      <c r="H12" s="87">
        <v>46060</v>
      </c>
      <c r="I12" s="86" t="s">
        <v>218</v>
      </c>
      <c r="J12" s="86">
        <v>9</v>
      </c>
    </row>
    <row r="13" spans="6:10" x14ac:dyDescent="0.25">
      <c r="F13" s="86"/>
      <c r="G13" s="86">
        <v>8000</v>
      </c>
      <c r="H13" s="86"/>
      <c r="I13" s="86" t="s">
        <v>144</v>
      </c>
      <c r="J13" s="86">
        <v>10</v>
      </c>
    </row>
    <row r="14" spans="6:10" x14ac:dyDescent="0.25">
      <c r="F14" s="86"/>
      <c r="G14" s="86">
        <v>8000</v>
      </c>
      <c r="H14" s="86"/>
      <c r="I14" s="86" t="s">
        <v>237</v>
      </c>
      <c r="J14" s="86">
        <v>11</v>
      </c>
    </row>
    <row r="15" spans="6:10" x14ac:dyDescent="0.25">
      <c r="F15" s="86"/>
      <c r="G15" s="86">
        <v>12000</v>
      </c>
      <c r="H15" s="86"/>
      <c r="I15" s="86" t="s">
        <v>218</v>
      </c>
      <c r="J15" s="86">
        <v>12</v>
      </c>
    </row>
    <row r="16" spans="6:10" x14ac:dyDescent="0.25">
      <c r="F16" s="86"/>
      <c r="G16" s="86">
        <v>3000</v>
      </c>
      <c r="H16" s="86"/>
      <c r="I16" s="86" t="s">
        <v>238</v>
      </c>
      <c r="J16" s="86">
        <v>13</v>
      </c>
    </row>
    <row r="17" spans="6:10" x14ac:dyDescent="0.25">
      <c r="F17" s="86"/>
      <c r="G17" s="86">
        <v>8000</v>
      </c>
      <c r="H17" s="86"/>
      <c r="I17" s="86" t="s">
        <v>239</v>
      </c>
      <c r="J17" s="86">
        <v>14</v>
      </c>
    </row>
    <row r="18" spans="6:10" x14ac:dyDescent="0.25">
      <c r="F18" s="86"/>
      <c r="G18" s="86">
        <v>4000</v>
      </c>
      <c r="H18" s="86"/>
      <c r="I18" s="86" t="s">
        <v>239</v>
      </c>
      <c r="J18" s="86">
        <v>15</v>
      </c>
    </row>
    <row r="19" spans="6:10" x14ac:dyDescent="0.25">
      <c r="F19" s="86"/>
      <c r="G19" s="86">
        <v>4000</v>
      </c>
      <c r="H19" s="86"/>
      <c r="I19" s="86" t="s">
        <v>185</v>
      </c>
      <c r="J19" s="86">
        <v>16</v>
      </c>
    </row>
    <row r="20" spans="6:10" x14ac:dyDescent="0.25">
      <c r="F20" s="86"/>
      <c r="G20" s="86">
        <v>8000</v>
      </c>
      <c r="H20" s="86"/>
      <c r="I20" s="86" t="s">
        <v>218</v>
      </c>
      <c r="J20" s="86">
        <v>17</v>
      </c>
    </row>
    <row r="21" spans="6:10" x14ac:dyDescent="0.25">
      <c r="F21" s="86"/>
      <c r="G21" s="86">
        <v>8000</v>
      </c>
      <c r="H21" s="86"/>
      <c r="I21" s="86" t="s">
        <v>251</v>
      </c>
      <c r="J21" s="86">
        <v>18</v>
      </c>
    </row>
    <row r="22" spans="6:10" x14ac:dyDescent="0.25">
      <c r="F22" s="86"/>
      <c r="G22" s="86">
        <v>8000</v>
      </c>
      <c r="H22" s="86"/>
      <c r="I22" s="86" t="s">
        <v>218</v>
      </c>
      <c r="J22" s="86">
        <v>19</v>
      </c>
    </row>
    <row r="23" spans="6:10" x14ac:dyDescent="0.25">
      <c r="F23" s="86"/>
      <c r="G23" s="86">
        <v>16000</v>
      </c>
      <c r="H23" s="86"/>
      <c r="I23" s="86" t="s">
        <v>148</v>
      </c>
      <c r="J23" s="86">
        <v>20</v>
      </c>
    </row>
    <row r="24" spans="6:10" x14ac:dyDescent="0.25">
      <c r="F24" s="86" t="s">
        <v>21</v>
      </c>
      <c r="G24" s="86"/>
      <c r="H24" s="86"/>
      <c r="I24" s="86"/>
      <c r="J24" s="86">
        <f>SUBTOTAL(103,Tableau5[[      الرقم]])</f>
        <v>20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/>
  <dimension ref="A1:C8"/>
  <sheetViews>
    <sheetView zoomScale="220" zoomScaleNormal="220" workbookViewId="0">
      <selection activeCell="A8" sqref="A8"/>
    </sheetView>
  </sheetViews>
  <sheetFormatPr baseColWidth="10" defaultRowHeight="15" x14ac:dyDescent="0.25"/>
  <cols>
    <col min="1" max="1" width="4.28515625" bestFit="1" customWidth="1"/>
    <col min="2" max="2" width="22.42578125" bestFit="1" customWidth="1"/>
    <col min="3" max="3" width="23.7109375" bestFit="1" customWidth="1"/>
  </cols>
  <sheetData>
    <row r="1" spans="1:3" x14ac:dyDescent="0.25">
      <c r="A1" t="s">
        <v>190</v>
      </c>
    </row>
    <row r="2" spans="1:3" x14ac:dyDescent="0.25">
      <c r="A2" t="s">
        <v>26</v>
      </c>
      <c r="B2" t="s">
        <v>27</v>
      </c>
      <c r="C2" t="s">
        <v>28</v>
      </c>
    </row>
    <row r="3" spans="1:3" x14ac:dyDescent="0.25">
      <c r="A3" t="s">
        <v>22</v>
      </c>
      <c r="B3">
        <v>2013</v>
      </c>
      <c r="C3">
        <v>2014</v>
      </c>
    </row>
    <row r="4" spans="1:3" x14ac:dyDescent="0.25">
      <c r="A4" t="s">
        <v>23</v>
      </c>
      <c r="B4">
        <v>2015</v>
      </c>
      <c r="C4">
        <v>2016</v>
      </c>
    </row>
    <row r="5" spans="1:3" x14ac:dyDescent="0.25">
      <c r="A5" t="s">
        <v>24</v>
      </c>
      <c r="B5">
        <v>2017</v>
      </c>
      <c r="C5">
        <v>2018</v>
      </c>
    </row>
    <row r="6" spans="1:3" x14ac:dyDescent="0.25">
      <c r="A6" t="s">
        <v>25</v>
      </c>
      <c r="B6">
        <v>2019</v>
      </c>
      <c r="C6">
        <v>2020</v>
      </c>
    </row>
    <row r="7" spans="1:3" x14ac:dyDescent="0.25">
      <c r="A7" t="s">
        <v>189</v>
      </c>
      <c r="B7">
        <v>2021</v>
      </c>
      <c r="C7">
        <v>2022</v>
      </c>
    </row>
    <row r="8" spans="1:3" x14ac:dyDescent="0.25">
      <c r="A8" t="s">
        <v>191</v>
      </c>
      <c r="B8">
        <v>2011</v>
      </c>
      <c r="C8">
        <v>2012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Formulaire d'inscription</vt:lpstr>
      <vt:lpstr>Langues</vt:lpstr>
      <vt:lpstr>registre joueur</vt:lpstr>
      <vt:lpstr>Entraineur</vt:lpstr>
      <vt:lpstr>الفئه</vt:lpstr>
      <vt:lpstr>النقل</vt:lpstr>
      <vt:lpstr>parametre</vt:lpstr>
      <vt:lpstr>'registre joueur'!Zone_d_impression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ali</dc:creator>
  <cp:lastModifiedBy>Informatics</cp:lastModifiedBy>
  <cp:lastPrinted>2025-09-03T14:05:13Z</cp:lastPrinted>
  <dcterms:created xsi:type="dcterms:W3CDTF">2025-08-29T12:11:20Z</dcterms:created>
  <dcterms:modified xsi:type="dcterms:W3CDTF">2026-07-22T18:38:25Z</dcterms:modified>
</cp:coreProperties>
</file>